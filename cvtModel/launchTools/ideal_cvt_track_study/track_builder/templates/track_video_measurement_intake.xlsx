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694482d9a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22ce5fe5b98480a"/>
    <x:sheet xmlns:r="http://schemas.openxmlformats.org/officeDocument/2006/relationships" name="Track Survey" sheetId="2" r:id="R9b18e9dfb3294071"/>
    <x:sheet xmlns:r="http://schemas.openxmlformats.org/officeDocument/2006/relationships" name="Feature Question Guide" sheetId="3" r:id="R80a909204d094da7"/>
    <x:sheet xmlns:r="http://schemas.openxmlformats.org/officeDocument/2006/relationships" name="Video Estimation Tips" sheetId="4" r:id="R40f6d1e6094c43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d359f35754b18" /><Relationship Type="http://schemas.openxmlformats.org/officeDocument/2006/relationships/theme" Target="/xl/theme/theme1.xml" Id="Rd53ec42ea7ee4c10" /><Relationship Type="http://schemas.openxmlformats.org/officeDocument/2006/relationships/sharedStrings" Target="/xl/sharedStrings.xml" Id="R9b312333c7d14ed3" /><Relationship Type="http://schemas.openxmlformats.org/officeDocument/2006/relationships/worksheet" Target="/xl/worksheets/sheet1.xml" Id="Ra22ce5fe5b98480a" /><Relationship Type="http://schemas.openxmlformats.org/officeDocument/2006/relationships/worksheet" Target="/xl/worksheets/sheet2.xml" Id="R9b18e9dfb3294071" /><Relationship Type="http://schemas.openxmlformats.org/officeDocument/2006/relationships/worksheet" Target="/xl/worksheets/sheet3.xml" Id="R80a909204d094da7" /><Relationship Type="http://schemas.openxmlformats.org/officeDocument/2006/relationships/worksheet" Target="/xl/worksheets/sheet4.xml" Id="R40f6d1e6094c43dd" /></Relationships>
</file>

<file path=xl/tables/table1.xml><?xml version="1.0" encoding="utf-8"?>
<x:table xmlns:x="http://schemas.openxmlformats.org/spreadsheetml/2006/main" id="1" name="TrackSurveyTable" displayName="TrackSurveyTable" ref="A1:P76" headerRowCount="1">
  <x:tableColumns count="16">
    <x:tableColumn id="1" name="Segment"/>
    <x:tableColumn id="2" name="Distance [m]"/>
    <x:tableColumn id="3" name="Start [m]"/>
    <x:tableColumn id="4" name="End [m]"/>
    <x:tableColumn id="5" name="Incline [deg]"/>
    <x:tableColumn id="6" name="Original obstacle"/>
    <x:tableColumn id="7" name="Surface"/>
    <x:tableColumn id="8" name="Original note"/>
    <x:tableColumn id="9" name="Proposed builder feature"/>
    <x:tableColumn id="10" name="Current interpretation"/>
    <x:tableColumn id="11" name="Questions to answer from video"/>
    <x:tableColumn id="12" name="Parameters still needed"/>
    <x:tableColumn id="13" name="User answers / measurements"/>
    <x:tableColumn id="14" name="Status"/>
    <x:tableColumn id="15" name="Confidence"/>
    <x:tableColumn id="16" name="Model caveat"/>
  </x:tableColumns>
  <x:tableStyleInfo name="TableStyleMedium2" showRowStripes="1"/>
</x:table>
</file>

<file path=xl/tables/table2.xml><?xml version="1.0" encoding="utf-8"?>
<x:table xmlns:x="http://schemas.openxmlformats.org/spreadsheetml/2006/main" id="2" name="FeatureQuestionGuideTable" displayName="FeatureQuestionGuideTable" ref="A1:G10" headerRowCount="1">
  <x:tableColumns count="7">
    <x:tableColumn id="1" name="Feature type"/>
    <x:tableColumn id="2" name="Use for"/>
    <x:tableColumn id="3" name="Required parameters"/>
    <x:tableColumn id="4" name="Optional/calibration parameters"/>
    <x:tableColumn id="5" name="Questions to answer from video"/>
    <x:tableColumn id="6" name="Core math / physical role"/>
    <x:tableColumn id="7" name="Main limitation"/>
  </x:tableColumns>
  <x:tableStyleInfo name="TableStyleMedium2" showRowStripes="1"/>
</x:table>
</file>

<file path=xl/tables/table3.xml><?xml version="1.0" encoding="utf-8"?>
<x:table xmlns:x="http://schemas.openxmlformats.org/spreadsheetml/2006/main" id="3" name="VideoEstimationTipsTable" displayName="VideoEstimationTipsTable" ref="A1:D11" headerRowCount="1">
  <x:tableColumns count="4">
    <x:tableColumn id="1" name="Quantity"/>
    <x:tableColumn id="2" name="How to estimate from video"/>
    <x:tableColumn id="3" name="Preferred unit"/>
    <x:tableColumn id="4" name="Why the model needs 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b0279554464f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3b1c615ccc47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3751f261104d5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4" max="4" width="28" hidden="0" customWidth="1"/>
    <x:col min="5" max="5" width="18" hidden="0" customWidth="1"/>
  </x:cols>
  <x:sheetData>
    <x:row r="1" ht="28" customHeight="1">
      <x:c r="A1" s="36" t="str">
        <x:v>Track Video Measurement Intake</x:v>
      </x:c>
      <x:c r="B1" s="36"/>
      <x:c r="C1" s="36"/>
      <x:c r="D1" s="36"/>
      <x:c r="E1" s="36"/>
      <x:c r="F1" s="36"/>
      <x:c r="G1" s="36"/>
      <x:c r="H1" s="36"/>
    </x:row>
    <x:row r="2" ht="42" customHeight="1">
      <x:c r="A2" s="37" t="str">
        <x:v>Use the Track Survey sheet while reviewing video. Fill only measurements you can reasonably estimate; leave uncertain values blank and add notes.</x:v>
      </x:c>
      <x:c r="B2" s="37"/>
      <x:c r="C2" s="37"/>
      <x:c r="D2" s="37"/>
      <x:c r="E2" s="37"/>
      <x:c r="F2" s="37"/>
      <x:c r="G2" s="37"/>
      <x:c r="H2" s="37"/>
    </x:row>
    <x:row r="3">
      <x:c r="A3" s="38"/>
      <x:c r="B3" s="38"/>
      <x:c r="C3" s="38"/>
      <x:c r="D3" s="38"/>
      <x:c r="E3" s="38"/>
      <x:c r="F3" s="38"/>
      <x:c r="G3" s="38"/>
      <x:c r="H3" s="38"/>
    </x:row>
    <x:row r="4">
      <x:c r="A4" s="39" t="str">
        <x:v>Purpose</x:v>
      </x:c>
      <x:c r="B4" s="38" t="str">
        <x:v>Convert the provisional 1,570 m course notes into physical track-builder inputs without hiding unknowns behind arbitrary speed caps.</x:v>
      </x:c>
      <x:c r="C4" s="38"/>
      <x:c r="D4" s="40" t="str">
        <x:v>Course summary</x:v>
      </x:c>
      <x:c r="E4" s="40" t="str">
        <x:v>Value</x:v>
      </x:c>
      <x:c r="F4" s="38"/>
      <x:c r="G4" s="38"/>
      <x:c r="H4" s="38"/>
    </x:row>
    <x:row r="5">
      <x:c r="A5" s="39" t="str">
        <x:v>Workflow</x:v>
      </x:c>
      <x:c r="B5" s="38" t="str">
        <x:v>1) Confirm each row's distance/grade/surface. 2) Answer the row-specific video questions. 3) Enter measurements in User answers. 4) Mark Ready when enough physical values exist.</x:v>
      </x:c>
      <x:c r="C5" s="38"/>
      <x:c r="D5" s="38" t="str">
        <x:v>Segments</x:v>
      </x:c>
      <x:c r="E5" s="38" t="n">
        <x:v>75</x:v>
      </x:c>
      <x:c r="F5" s="38"/>
      <x:c r="G5" s="38"/>
      <x:c r="H5" s="38"/>
    </x:row>
    <x:row r="6">
      <x:c r="A6" s="39" t="str">
        <x:v>Track source</x:v>
      </x:c>
      <x:c r="B6" s="38" t="str">
        <x:v>Transcribed from the supplied Track Data sheet. All interpretations and proposed feature mappings are provisional until video review.</x:v>
      </x:c>
      <x:c r="C6" s="38"/>
      <x:c r="D6" s="38" t="str">
        <x:v>Total distance [m]</x:v>
      </x:c>
      <x:c r="E6" s="38" t="n">
        <x:v>1570</x:v>
      </x:c>
      <x:c r="F6" s="38"/>
      <x:c r="G6" s="38"/>
      <x:c r="H6" s="38"/>
    </x:row>
    <x:row r="7">
      <x:c r="A7" s="39" t="str">
        <x:v>Supported physical features</x:v>
      </x:c>
      <x:c r="B7" s="38" t="str">
        <x:v>TrackSection, SurfacePatch, CurvatureSegment (banked), SlalomSegment, RoughPatch, LogCrossing, ProfileObstacle, WhoopTrain.</x:v>
      </x:c>
      <x:c r="C7" s="38"/>
      <x:c r="D7" s="38" t="str">
        <x:v>Rows with obstacles/notes</x:v>
      </x:c>
      <x:c r="E7" s="38" t="n">
        <x:v>39</x:v>
      </x:c>
      <x:c r="F7" s="38"/>
      <x:c r="G7" s="38"/>
      <x:c r="H7" s="38"/>
    </x:row>
    <x:row r="8">
      <x:c r="A8" s="39" t="str">
        <x:v>Not part of the track</x:v>
      </x:c>
      <x:c r="B8" s="38" t="str">
        <x:v>Driver hesitation, forced top speed, traffic, braking choices, and other-car effects belong in later scenario/disturbance layers.</x:v>
      </x:c>
      <x:c r="C8" s="38"/>
      <x:c r="D8" s="38" t="str">
        <x:v>Rows needing video review</x:v>
      </x:c>
      <x:c r="E8" s="38" t="n">
        <x:v>39</x:v>
      </x:c>
      <x:c r="F8" s="38"/>
      <x:c r="G8" s="38"/>
      <x:c r="H8" s="38"/>
    </x:row>
    <x:row r="9">
      <x:c r="A9" s="39" t="str">
        <x:v>Important limitation</x:v>
      </x:c>
      <x:c r="B9" s="38" t="str">
        <x:v>This remains a reduced longitudinal model. It does not predict suspension travel, chassis pitch, wheel-by-wheel contact, rollover, or real airborne landings.</x:v>
      </x:c>
      <x:c r="C9" s="38"/>
      <x:c r="D9" s="38"/>
      <x:c r="E9" s="38"/>
      <x:c r="F9" s="38"/>
      <x:c r="G9" s="38"/>
      <x:c r="H9" s="38"/>
    </x:row>
    <x:row r="10">
      <x:c r="A10" s="39" t="str">
        <x:v>Measurement tip</x:v>
      </x:c>
      <x:c r="B10" s="38" t="str">
        <x:v>Use known vehicle dimensions, parking-space widths, tire diameter, cone spacing, or frame-by-frame timing as scale references in the video.</x:v>
      </x:c>
      <x:c r="C10" s="38"/>
      <x:c r="D10" s="38"/>
      <x:c r="E10" s="38"/>
      <x:c r="F10" s="38"/>
      <x:c r="G10" s="38"/>
      <x:c r="H10" s="38"/>
    </x:row>
    <x:row r="11">
      <x:c r="A11" s="38"/>
      <x:c r="B11" s="38"/>
      <x:c r="C11" s="38"/>
      <x:c r="D11" s="38"/>
      <x:c r="E11" s="38"/>
      <x:c r="F11" s="38"/>
      <x:c r="G11" s="38"/>
      <x:c r="H11" s="38"/>
    </x:row>
    <x:row r="12">
      <x:c r="A12" s="38"/>
      <x:c r="B12" s="38"/>
      <x:c r="C12" s="38"/>
      <x:c r="D12" s="38"/>
      <x:c r="E12" s="38"/>
      <x:c r="F12" s="38"/>
      <x:c r="G12" s="38"/>
      <x:c r="H12" s="38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1" hidden="0" customWidth="1"/>
    <x:col min="5" max="5" width="12" hidden="0" customWidth="1"/>
    <x:col min="6" max="6" width="23" hidden="0" customWidth="1"/>
    <x:col min="7" max="7" width="18" hidden="0" customWidth="1"/>
    <x:col min="8" max="8" width="28" hidden="0" customWidth="1"/>
    <x:col min="9" max="9" width="24" hidden="0" customWidth="1"/>
    <x:col min="10" max="10" width="34" hidden="0" customWidth="1"/>
    <x:col min="11" max="11" width="48" hidden="0" customWidth="1"/>
    <x:col min="12" max="12" width="34" hidden="0" customWidth="1"/>
    <x:col min="13" max="13" width="34" hidden="0" customWidth="1"/>
    <x:col min="14" max="14" width="19" hidden="0" customWidth="1"/>
    <x:col min="15" max="15" width="11" hidden="0" customWidth="1"/>
    <x:col min="16" max="16" width="32" hidden="0" customWidth="1"/>
  </x:cols>
  <x:sheetData>
    <x:row r="1" ht="38" customHeight="1">
      <x:c r="A1" s="40" t="str">
        <x:v>Segment</x:v>
      </x:c>
      <x:c r="B1" s="40" t="str">
        <x:v>Distance [m]</x:v>
      </x:c>
      <x:c r="C1" s="40" t="str">
        <x:v>Start [m]</x:v>
      </x:c>
      <x:c r="D1" s="40" t="str">
        <x:v>End [m]</x:v>
      </x:c>
      <x:c r="E1" s="40" t="str">
        <x:v>Incline [deg]</x:v>
      </x:c>
      <x:c r="F1" s="40" t="str">
        <x:v>Original obstacle</x:v>
      </x:c>
      <x:c r="G1" s="40" t="str">
        <x:v>Surface</x:v>
      </x:c>
      <x:c r="H1" s="40" t="str">
        <x:v>Original note</x:v>
      </x:c>
      <x:c r="I1" s="40" t="str">
        <x:v>Proposed builder feature</x:v>
      </x:c>
      <x:c r="J1" s="40" t="str">
        <x:v>Current interpretation</x:v>
      </x:c>
      <x:c r="K1" s="40" t="str">
        <x:v>Questions to answer from video</x:v>
      </x:c>
      <x:c r="L1" s="40" t="str">
        <x:v>Parameters still needed</x:v>
      </x:c>
      <x:c r="M1" s="40" t="str">
        <x:v>User answers / measurements</x:v>
      </x:c>
      <x:c r="N1" s="40" t="str">
        <x:v>Status</x:v>
      </x:c>
      <x:c r="O1" s="40" t="str">
        <x:v>Confidence</x:v>
      </x:c>
      <x:c r="P1" s="40" t="str">
        <x:v>Model caveat</x:v>
      </x:c>
    </x:row>
    <x:row r="2" ht="66" customHeight="1">
      <x:c r="A2" s="38" t="n">
        <x:v>1</x:v>
      </x:c>
      <x:c r="B2" s="46" t="n">
        <x:v>20</x:v>
      </x:c>
      <x:c r="C2" s="46" t="n">
        <x:f>0</x:f>
        <x:v>0</x:v>
      </x:c>
      <x:c r="D2" s="46" t="n">
        <x:f>C2+B2</x:f>
        <x:v>20</x:v>
      </x:c>
      <x:c r="E2" s="46"/>
      <x:c r="F2" s="38" t="str"/>
      <x:c r="G2" s="38" t="str">
        <x:v>dirt (default, confirm)</x:v>
      </x:c>
      <x:c r="H2" s="38" t="str"/>
      <x:c r="I2" s="38" t="str">
        <x:v>TrackSection</x:v>
      </x:c>
      <x:c r="J2" s="38" t="str">
        <x:v>Sequential base section with the listed distance and grade; dirt defaults remain provisional.</x:v>
      </x:c>
      <x:c r="K2" s="38" t="str">
        <x:v>Is the grade constant through this whole row? What surface is visible? Does the row include a turn or obstacle not written down?</x:v>
      </x:c>
      <x:c r="L2" s="38" t="str">
        <x:v>length; grade; surface; friction coefficient; rolling-resistance coefficient</x:v>
      </x:c>
      <x:c r="M2" s="38" t="str"/>
      <x:c r="N2" s="38" t="str">
        <x:v>Base data present</x:v>
      </x:c>
      <x:c r="O2" s="38" t="str">
        <x:v>Medium</x:v>
      </x:c>
      <x:c r="P2" s="38" t="str">
        <x:v>Base sections carry persistent elevation change; local features overlay them.</x:v>
      </x:c>
    </x:row>
    <x:row r="3" ht="66" customHeight="1">
      <x:c r="A3" s="38" t="n">
        <x:v>2</x:v>
      </x:c>
      <x:c r="B3" s="46" t="n">
        <x:v>10</x:v>
      </x:c>
      <x:c r="C3" s="46" t="n">
        <x:f>D2</x:f>
        <x:v>20</x:v>
      </x:c>
      <x:c r="D3" s="46" t="n">
        <x:f>C3+B3</x:f>
        <x:v>30</x:v>
      </x:c>
      <x:c r="E3" s="46"/>
      <x:c r="F3" s="38" t="str">
        <x:v>medium 90 deg turn</x:v>
      </x:c>
      <x:c r="G3" s="38" t="str">
        <x:v>dirt (default, confirm)</x:v>
      </x:c>
      <x:c r="H3" s="38" t="str"/>
      <x:c r="I3" s="38" t="str">
        <x:v>CurvatureSegment</x:v>
      </x:c>
      <x:c r="J3" s="38" t="str">
        <x:v>Constant-curvature 90° turn over the listed distance.</x:v>
      </x:c>
      <x:c r="K3" s="38" t="str">
        <x:v>Left or right? Does the listed distance equal the arc length? What is the approximate path radius or corner width? What surface/grip is present through the corner? Does the turn tighten or open?</x:v>
      </x:c>
      <x:c r="L3" s="38" t="str">
        <x:v>start/length; radius; direction; bank angle</x:v>
      </x:c>
      <x:c r="M3" s="38" t="str"/>
      <x:c r="N3" s="38" t="str">
        <x:v>Needs video review</x:v>
      </x:c>
      <x:c r="O3" s="38" t="str">
        <x:v>Medium</x:v>
      </x:c>
      <x:c r="P3" s="38" t="str">
        <x:v>If radius changes visibly, split the turn into multiple segments rather than forcing one radius.</x:v>
      </x:c>
    </x:row>
    <x:row r="4" ht="66" customHeight="1">
      <x:c r="A4" s="38" t="n">
        <x:v>3</x:v>
      </x:c>
      <x:c r="B4" s="46" t="n">
        <x:v>50</x:v>
      </x:c>
      <x:c r="C4" s="46" t="n">
        <x:f>D3</x:f>
        <x:v>30</x:v>
      </x:c>
      <x:c r="D4" s="46" t="n">
        <x:f>C4+B4</x:f>
        <x:v>80</x:v>
      </x:c>
      <x:c r="E4" s="46"/>
      <x:c r="F4" s="38" t="str"/>
      <x:c r="G4" s="38" t="str">
        <x:v>dirt (default, confirm)</x:v>
      </x:c>
      <x:c r="H4" s="38" t="str"/>
      <x:c r="I4" s="38" t="str">
        <x:v>TrackSection</x:v>
      </x:c>
      <x:c r="J4" s="38" t="str">
        <x:v>Sequential base section with the listed distance and grade; dirt defaults remain provisional.</x:v>
      </x:c>
      <x:c r="K4" s="38" t="str">
        <x:v>Is the grade constant through this whole row? What surface is visible? Does the row include a turn or obstacle not written down?</x:v>
      </x:c>
      <x:c r="L4" s="38" t="str">
        <x:v>length; grade; surface; friction coefficient; rolling-resistance coefficient</x:v>
      </x:c>
      <x:c r="M4" s="38" t="str"/>
      <x:c r="N4" s="38" t="str">
        <x:v>Base data present</x:v>
      </x:c>
      <x:c r="O4" s="38" t="str">
        <x:v>Medium</x:v>
      </x:c>
      <x:c r="P4" s="38" t="str">
        <x:v>Base sections carry persistent elevation change; local features overlay them.</x:v>
      </x:c>
    </x:row>
    <x:row r="5" ht="66" customHeight="1">
      <x:c r="A5" s="38" t="n">
        <x:v>4</x:v>
      </x:c>
      <x:c r="B5" s="46" t="n">
        <x:v>10</x:v>
      </x:c>
      <x:c r="C5" s="46" t="n">
        <x:f>D4</x:f>
        <x:v>80</x:v>
      </x:c>
      <x:c r="D5" s="46" t="n">
        <x:f>C5+B5</x:f>
        <x:v>90</x:v>
      </x:c>
      <x:c r="E5" s="46"/>
      <x:c r="F5" s="38" t="str">
        <x:v>medium 90 deg turn</x:v>
      </x:c>
      <x:c r="G5" s="38" t="str">
        <x:v>dirt (default, confirm)</x:v>
      </x:c>
      <x:c r="H5" s="38" t="str"/>
      <x:c r="I5" s="38" t="str">
        <x:v>CurvatureSegment</x:v>
      </x:c>
      <x:c r="J5" s="38" t="str">
        <x:v>Constant-curvature 90° turn over the listed distance.</x:v>
      </x:c>
      <x:c r="K5" s="38" t="str">
        <x:v>Left or right? Does the listed distance equal the arc length? What is the approximate path radius or corner width? What surface/grip is present through the corner? Does the turn tighten or open?</x:v>
      </x:c>
      <x:c r="L5" s="38" t="str">
        <x:v>start/length; radius; direction; bank angle</x:v>
      </x:c>
      <x:c r="M5" s="38" t="str"/>
      <x:c r="N5" s="38" t="str">
        <x:v>Needs video review</x:v>
      </x:c>
      <x:c r="O5" s="38" t="str">
        <x:v>Medium</x:v>
      </x:c>
      <x:c r="P5" s="38" t="str">
        <x:v>If radius changes visibly, split the turn into multiple segments rather than forcing one radius.</x:v>
      </x:c>
    </x:row>
    <x:row r="6" ht="66" customHeight="1">
      <x:c r="A6" s="38" t="n">
        <x:v>5</x:v>
      </x:c>
      <x:c r="B6" s="46" t="n">
        <x:v>130</x:v>
      </x:c>
      <x:c r="C6" s="46" t="n">
        <x:f>D5</x:f>
        <x:v>90</x:v>
      </x:c>
      <x:c r="D6" s="46" t="n">
        <x:f>C6+B6</x:f>
        <x:v>220</x:v>
      </x:c>
      <x:c r="E6" s="46"/>
      <x:c r="F6" s="38" t="str"/>
      <x:c r="G6" s="38" t="str">
        <x:v>dirt (default, confirm)</x:v>
      </x:c>
      <x:c r="H6" s="38" t="str"/>
      <x:c r="I6" s="38" t="str">
        <x:v>TrackSection</x:v>
      </x:c>
      <x:c r="J6" s="38" t="str">
        <x:v>Sequential base section with the listed distance and grade; dirt defaults remain provisional.</x:v>
      </x:c>
      <x:c r="K6" s="38" t="str">
        <x:v>Is the grade constant through this whole row? What surface is visible? Does the row include a turn or obstacle not written down?</x:v>
      </x:c>
      <x:c r="L6" s="38" t="str">
        <x:v>length; grade; surface; friction coefficient; rolling-resistance coefficient</x:v>
      </x:c>
      <x:c r="M6" s="38" t="str"/>
      <x:c r="N6" s="38" t="str">
        <x:v>Base data present</x:v>
      </x:c>
      <x:c r="O6" s="38" t="str">
        <x:v>Medium</x:v>
      </x:c>
      <x:c r="P6" s="38" t="str">
        <x:v>Base sections carry persistent elevation change; local features overlay them.</x:v>
      </x:c>
    </x:row>
    <x:row r="7" ht="66" customHeight="1">
      <x:c r="A7" s="38" t="n">
        <x:v>6</x:v>
      </x:c>
      <x:c r="B7" s="46" t="n">
        <x:v>10</x:v>
      </x:c>
      <x:c r="C7" s="46" t="n">
        <x:f>D6</x:f>
        <x:v>220</x:v>
      </x:c>
      <x:c r="D7" s="46" t="n">
        <x:f>C7+B7</x:f>
        <x:v>230</x:v>
      </x:c>
      <x:c r="E7" s="46" t="n">
        <x:v>30</x:v>
      </x:c>
      <x:c r="F7" s="38" t="str"/>
      <x:c r="G7" s="38" t="str">
        <x:v>dirt (default, confirm)</x:v>
      </x:c>
      <x:c r="H7" s="38" t="str"/>
      <x:c r="I7" s="38" t="str">
        <x:v>TrackSection</x:v>
      </x:c>
      <x:c r="J7" s="38" t="str">
        <x:v>Sequential base section with the listed distance and grade; dirt defaults remain provisional.</x:v>
      </x:c>
      <x:c r="K7" s="38" t="str">
        <x:v>Is the grade constant through this whole row? What surface is visible? Does the row include a turn or obstacle not written down?</x:v>
      </x:c>
      <x:c r="L7" s="38" t="str">
        <x:v>length; grade; surface; friction coefficient; rolling-resistance coefficient</x:v>
      </x:c>
      <x:c r="M7" s="38" t="str"/>
      <x:c r="N7" s="38" t="str">
        <x:v>Base data present</x:v>
      </x:c>
      <x:c r="O7" s="38" t="str">
        <x:v>High</x:v>
      </x:c>
      <x:c r="P7" s="38" t="str">
        <x:v>Base sections carry persistent elevation change; local features overlay them.</x:v>
      </x:c>
    </x:row>
    <x:row r="8" ht="66" customHeight="1">
      <x:c r="A8" s="38" t="n">
        <x:v>7</x:v>
      </x:c>
      <x:c r="B8" s="46" t="n">
        <x:v>10</x:v>
      </x:c>
      <x:c r="C8" s="46" t="n">
        <x:f>D7</x:f>
        <x:v>230</x:v>
      </x:c>
      <x:c r="D8" s="46" t="n">
        <x:f>C8+B8</x:f>
        <x:v>240</x:v>
      </x:c>
      <x:c r="E8" s="46"/>
      <x:c r="F8" s="38" t="str"/>
      <x:c r="G8" s="38" t="str">
        <x:v>dirt (default, confirm)</x:v>
      </x:c>
      <x:c r="H8" s="38" t="str"/>
      <x:c r="I8" s="38" t="str">
        <x:v>TrackSection</x:v>
      </x:c>
      <x:c r="J8" s="38" t="str">
        <x:v>Sequential base section with the listed distance and grade; dirt defaults remain provisional.</x:v>
      </x:c>
      <x:c r="K8" s="38" t="str">
        <x:v>Is the grade constant through this whole row? What surface is visible? Does the row include a turn or obstacle not written down?</x:v>
      </x:c>
      <x:c r="L8" s="38" t="str">
        <x:v>length; grade; surface; friction coefficient; rolling-resistance coefficient</x:v>
      </x:c>
      <x:c r="M8" s="38" t="str"/>
      <x:c r="N8" s="38" t="str">
        <x:v>Base data present</x:v>
      </x:c>
      <x:c r="O8" s="38" t="str">
        <x:v>Medium</x:v>
      </x:c>
      <x:c r="P8" s="38" t="str">
        <x:v>Base sections carry persistent elevation change; local features overlay them.</x:v>
      </x:c>
    </x:row>
    <x:row r="9" ht="66" customHeight="1">
      <x:c r="A9" s="38" t="n">
        <x:v>8</x:v>
      </x:c>
      <x:c r="B9" s="46" t="n">
        <x:v>10</x:v>
      </x:c>
      <x:c r="C9" s="46" t="n">
        <x:f>D8</x:f>
        <x:v>240</x:v>
      </x:c>
      <x:c r="D9" s="46" t="n">
        <x:f>C9+B9</x:f>
        <x:v>250</x:v>
      </x:c>
      <x:c r="E9" s="46" t="n">
        <x:v>-30</x:v>
      </x:c>
      <x:c r="F9" s="38" t="str"/>
      <x:c r="G9" s="38" t="str">
        <x:v>dirt (default, confirm)</x:v>
      </x:c>
      <x:c r="H9" s="38" t="str"/>
      <x:c r="I9" s="38" t="str">
        <x:v>TrackSection</x:v>
      </x:c>
      <x:c r="J9" s="38" t="str">
        <x:v>Sequential base section with the listed distance and grade; dirt defaults remain provisional.</x:v>
      </x:c>
      <x:c r="K9" s="38" t="str">
        <x:v>Is the grade constant through this whole row? What surface is visible? Does the row include a turn or obstacle not written down?</x:v>
      </x:c>
      <x:c r="L9" s="38" t="str">
        <x:v>length; grade; surface; friction coefficient; rolling-resistance coefficient</x:v>
      </x:c>
      <x:c r="M9" s="38" t="str"/>
      <x:c r="N9" s="38" t="str">
        <x:v>Base data present</x:v>
      </x:c>
      <x:c r="O9" s="38" t="str">
        <x:v>High</x:v>
      </x:c>
      <x:c r="P9" s="38" t="str">
        <x:v>Base sections carry persistent elevation change; local features overlay them.</x:v>
      </x:c>
    </x:row>
    <x:row r="10" ht="66" customHeight="1">
      <x:c r="A10" s="38" t="n">
        <x:v>9</x:v>
      </x:c>
      <x:c r="B10" s="46" t="n">
        <x:v>40</x:v>
      </x:c>
      <x:c r="C10" s="46" t="n">
        <x:f>D9</x:f>
        <x:v>250</x:v>
      </x:c>
      <x:c r="D10" s="46" t="n">
        <x:f>C10+B10</x:f>
        <x:v>290</x:v>
      </x:c>
      <x:c r="E10" s="46"/>
      <x:c r="F10" s="38" t="str"/>
      <x:c r="G10" s="38" t="str">
        <x:v>dirt (default, confirm)</x:v>
      </x:c>
      <x:c r="H10" s="38" t="str"/>
      <x:c r="I10" s="38" t="str">
        <x:v>TrackSection</x:v>
      </x:c>
      <x:c r="J10" s="38" t="str">
        <x:v>Sequential base section with the listed distance and grade; dirt defaults remain provisional.</x:v>
      </x:c>
      <x:c r="K10" s="38" t="str">
        <x:v>Is the grade constant through this whole row? What surface is visible? Does the row include a turn or obstacle not written down?</x:v>
      </x:c>
      <x:c r="L10" s="38" t="str">
        <x:v>length; grade; surface; friction coefficient; rolling-resistance coefficient</x:v>
      </x:c>
      <x:c r="M10" s="38" t="str"/>
      <x:c r="N10" s="38" t="str">
        <x:v>Base data present</x:v>
      </x:c>
      <x:c r="O10" s="38" t="str">
        <x:v>Medium</x:v>
      </x:c>
      <x:c r="P10" s="38" t="str">
        <x:v>Base sections carry persistent elevation change; local features overlay them.</x:v>
      </x:c>
    </x:row>
    <x:row r="11" ht="66" customHeight="1">
      <x:c r="A11" s="38" t="n">
        <x:v>10</x:v>
      </x:c>
      <x:c r="B11" s="46" t="n">
        <x:v>5</x:v>
      </x:c>
      <x:c r="C11" s="46" t="n">
        <x:f>D10</x:f>
        <x:v>290</x:v>
      </x:c>
      <x:c r="D11" s="46" t="n">
        <x:f>C11+B11</x:f>
        <x:v>295</x:v>
      </x:c>
      <x:c r="E11" s="46"/>
      <x:c r="F11" s="38" t="str">
        <x:v>bump</x:v>
      </x:c>
      <x:c r="G11" s="38" t="str">
        <x:v>dirt (default, confirm)</x:v>
      </x:c>
      <x:c r="H11" s="38" t="str"/>
      <x:c r="I11" s="38" t="str">
        <x:v>ProfileObstacle</x:v>
      </x:c>
      <x:c r="J11" s="38" t="str">
        <x:v>Smooth measured `bump` elevation profile over the listed distance.</x:v>
      </x:c>
      <x:c r="K11" s="38" t="str">
        <x:v>What is the height? What is the obstacle's travel-direction length? Is it one obstacle or several? Does the profile return to the previous elevation, or is there a permanent elevation change? What entry/exit speed and wheel unloading are visible? What is the surface/traction on it?</x:v>
      </x:c>
      <x:c r="L11" s="38" t="str">
        <x:v>start/length; signed vertical amplitude; profile kind; fixed impact loss; speed-dependent impact coefficient; traction multiplier; load-scale limits</x:v>
      </x:c>
      <x:c r="M11" s="38" t="str"/>
      <x:c r="N11" s="38" t="str">
        <x:v>Needs video review</x:v>
      </x:c>
      <x:c r="O11" s="38" t="str">
        <x:v>Medium</x:v>
      </x:c>
      <x:c r="P11" s="38" t="str">
        <x:v>Permanent net elevation changes must be represented in base sections, not only as a local profile overlay.</x:v>
      </x:c>
    </x:row>
    <x:row r="12" ht="66" customHeight="1">
      <x:c r="A12" s="38" t="n">
        <x:v>11</x:v>
      </x:c>
      <x:c r="B12" s="46" t="n">
        <x:v>20</x:v>
      </x:c>
      <x:c r="C12" s="46" t="n">
        <x:f>D11</x:f>
        <x:v>295</x:v>
      </x:c>
      <x:c r="D12" s="46" t="n">
        <x:f>C12+B12</x:f>
        <x:v>315</x:v>
      </x:c>
      <x:c r="E12" s="46"/>
      <x:c r="F12" s="38" t="str">
        <x:v>shallow 90 deg turn</x:v>
      </x:c>
      <x:c r="G12" s="38" t="str">
        <x:v>dirt (default, confirm)</x:v>
      </x:c>
      <x:c r="H12" s="38" t="str"/>
      <x:c r="I12" s="38" t="str">
        <x:v>CurvatureSegment</x:v>
      </x:c>
      <x:c r="J12" s="38" t="str">
        <x:v>Constant-curvature 90° turn over the listed distance.</x:v>
      </x:c>
      <x:c r="K12" s="38" t="str">
        <x:v>Left or right? Does the listed distance equal the arc length? What is the approximate path radius or corner width? What surface/grip is present through the corner? Does the turn tighten or open?</x:v>
      </x:c>
      <x:c r="L12" s="38" t="str">
        <x:v>start/length; radius; direction; bank angle</x:v>
      </x:c>
      <x:c r="M12" s="38" t="str"/>
      <x:c r="N12" s="38" t="str">
        <x:v>Needs video review</x:v>
      </x:c>
      <x:c r="O12" s="38" t="str">
        <x:v>Medium</x:v>
      </x:c>
      <x:c r="P12" s="38" t="str">
        <x:v>If radius changes visibly, split the turn into multiple segments rather than forcing one radius.</x:v>
      </x:c>
    </x:row>
    <x:row r="13" ht="66" customHeight="1">
      <x:c r="A13" s="38" t="n">
        <x:v>12</x:v>
      </x:c>
      <x:c r="B13" s="46" t="n">
        <x:v>5</x:v>
      </x:c>
      <x:c r="C13" s="46" t="n">
        <x:f>D12</x:f>
        <x:v>315</x:v>
      </x:c>
      <x:c r="D13" s="46" t="n">
        <x:f>C13+B13</x:f>
        <x:v>320</x:v>
      </x:c>
      <x:c r="E13" s="46"/>
      <x:c r="F13" s="38" t="str">
        <x:v>bump</x:v>
      </x:c>
      <x:c r="G13" s="38" t="str">
        <x:v>dirt (default, confirm)</x:v>
      </x:c>
      <x:c r="H13" s="38" t="str"/>
      <x:c r="I13" s="38" t="str">
        <x:v>ProfileObstacle</x:v>
      </x:c>
      <x:c r="J13" s="38" t="str">
        <x:v>Smooth measured `bump` elevation profile over the listed distance.</x:v>
      </x:c>
      <x:c r="K13" s="38" t="str">
        <x:v>What is the height? What is the obstacle's travel-direction length? Is it one obstacle or several? Does the profile return to the previous elevation, or is there a permanent elevation change? What entry/exit speed and wheel unloading are visible? What is the surface/traction on it?</x:v>
      </x:c>
      <x:c r="L13" s="38" t="str">
        <x:v>start/length; signed vertical amplitude; profile kind; fixed impact loss; speed-dependent impact coefficient; traction multiplier; load-scale limits</x:v>
      </x:c>
      <x:c r="M13" s="38" t="str"/>
      <x:c r="N13" s="38" t="str">
        <x:v>Needs video review</x:v>
      </x:c>
      <x:c r="O13" s="38" t="str">
        <x:v>Medium</x:v>
      </x:c>
      <x:c r="P13" s="38" t="str">
        <x:v>Permanent net elevation changes must be represented in base sections, not only as a local profile overlay.</x:v>
      </x:c>
    </x:row>
    <x:row r="14" ht="66" customHeight="1">
      <x:c r="A14" s="38" t="n">
        <x:v>13</x:v>
      </x:c>
      <x:c r="B14" s="46" t="n">
        <x:v>20</x:v>
      </x:c>
      <x:c r="C14" s="46" t="n">
        <x:f>D13</x:f>
        <x:v>320</x:v>
      </x:c>
      <x:c r="D14" s="46" t="n">
        <x:f>C14+B14</x:f>
        <x:v>340</x:v>
      </x:c>
      <x:c r="E14" s="46"/>
      <x:c r="F14" s="38" t="str">
        <x:v>shallow 90 deg turn</x:v>
      </x:c>
      <x:c r="G14" s="38" t="str">
        <x:v>dirt (default, confirm)</x:v>
      </x:c>
      <x:c r="H14" s="38" t="str"/>
      <x:c r="I14" s="38" t="str">
        <x:v>CurvatureSegment</x:v>
      </x:c>
      <x:c r="J14" s="38" t="str">
        <x:v>Constant-curvature 90° turn over the listed distance.</x:v>
      </x:c>
      <x:c r="K14" s="38" t="str">
        <x:v>Left or right? Does the listed distance equal the arc length? What is the approximate path radius or corner width? What surface/grip is present through the corner? Does the turn tighten or open?</x:v>
      </x:c>
      <x:c r="L14" s="38" t="str">
        <x:v>start/length; radius; direction; bank angle</x:v>
      </x:c>
      <x:c r="M14" s="38" t="str"/>
      <x:c r="N14" s="38" t="str">
        <x:v>Needs video review</x:v>
      </x:c>
      <x:c r="O14" s="38" t="str">
        <x:v>Medium</x:v>
      </x:c>
      <x:c r="P14" s="38" t="str">
        <x:v>If radius changes visibly, split the turn into multiple segments rather than forcing one radius.</x:v>
      </x:c>
    </x:row>
    <x:row r="15" ht="66" customHeight="1">
      <x:c r="A15" s="38" t="n">
        <x:v>14</x:v>
      </x:c>
      <x:c r="B15" s="46" t="n">
        <x:v>60</x:v>
      </x:c>
      <x:c r="C15" s="46" t="n">
        <x:f>D14</x:f>
        <x:v>340</x:v>
      </x:c>
      <x:c r="D15" s="46" t="n">
        <x:f>C15+B15</x:f>
        <x:v>400</x:v>
      </x:c>
      <x:c r="E15" s="46"/>
      <x:c r="F15" s="38" t="str"/>
      <x:c r="G15" s="38" t="str">
        <x:v>dirt (default, confirm)</x:v>
      </x:c>
      <x:c r="H15" s="38" t="str">
        <x:v>bridge here -- looks like it doesn't do anything though</x:v>
      </x:c>
      <x:c r="I15" s="38" t="str">
        <x:v>TrackSection or SurfacePatch</x:v>
      </x:c>
      <x:c r="J15" s="38" t="str">
        <x:v>Use an ordinary section unless the bridge surface changes grip, rolling resistance, grade, or curvature.</x:v>
      </x:c>
      <x:c r="K15" s="38" t="str">
        <x:v>Does the bridge change surface material, grade, width, grip, or speed? Is there a lip at entry/exit?</x:v>
      </x:c>
      <x:c r="L15" s="38" t="str">
        <x:v>surface; friction; rolling resistance; optional entry/exit profile dimensions</x:v>
      </x:c>
      <x:c r="M15" s="38" t="str"/>
      <x:c r="N15" s="38" t="str">
        <x:v>Needs video review</x:v>
      </x:c>
      <x:c r="O15" s="38" t="str">
        <x:v>High</x:v>
      </x:c>
      <x:c r="P15" s="38" t="str">
        <x:v>A visually distinct object does not need a feature if it has no longitudinal effect.</x:v>
      </x:c>
    </x:row>
    <x:row r="16" ht="66" customHeight="1">
      <x:c r="A16" s="38" t="n">
        <x:v>15</x:v>
      </x:c>
      <x:c r="B16" s="46" t="n">
        <x:v>40</x:v>
      </x:c>
      <x:c r="C16" s="46" t="n">
        <x:f>D15</x:f>
        <x:v>400</x:v>
      </x:c>
      <x:c r="D16" s="46" t="n">
        <x:f>C16+B16</x:f>
        <x:v>440</x:v>
      </x:c>
      <x:c r="E16" s="46"/>
      <x:c r="F16" s="38" t="str">
        <x:v>crazy ruts</x:v>
      </x:c>
      <x:c r="G16" s="38" t="str">
        <x:v>dirt (default, confirm)</x:v>
      </x:c>
      <x:c r="H16" s="38" t="str">
        <x:v>slow down for this obstacle</x:v>
      </x:c>
      <x:c r="I16" s="38" t="str">
        <x:v>RoughPatch</x:v>
      </x:c>
      <x:c r="J16" s="38" t="str">
        <x:v>Distributed ruts/rough terrain with periodic load variation, extra resistance, and optional grip changes.</x:v>
      </x:c>
      <x:c r="K16" s="38" t="str">
        <x:v>How deep are the ruts? Approximate spacing/wavelength? Are they parallel or transverse to travel? Wet or dry? Do wheels unload? What entry/exit speed reduction is visible? Does the driver choose a slower line?</x:v>
      </x:c>
      <x:c r="L16" s="38" t="str">
        <x:v>start/length; roughness wavelength; load-variation fraction; energy loss per metre; speed-squared loss coefficient; friction/rolling modifiers</x:v>
      </x:c>
      <x:c r="M16" s="38" t="str"/>
      <x:c r="N16" s="38" t="str">
        <x:v>Needs video review</x:v>
      </x:c>
      <x:c r="O16" s="38" t="str">
        <x:v>Medium</x:v>
      </x:c>
      <x:c r="P16" s="38" t="str">
        <x:v>This is an effective longitudinal model; detailed left/right wheel behavior is outside scope.</x:v>
      </x:c>
    </x:row>
    <x:row r="17" ht="66" customHeight="1">
      <x:c r="A17" s="38" t="n">
        <x:v>16</x:v>
      </x:c>
      <x:c r="B17" s="46" t="n">
        <x:v>40</x:v>
      </x:c>
      <x:c r="C17" s="46" t="n">
        <x:f>D16</x:f>
        <x:v>440</x:v>
      </x:c>
      <x:c r="D17" s="46" t="n">
        <x:f>C17+B17</x:f>
        <x:v>480</x:v>
      </x:c>
      <x:c r="E17" s="46"/>
      <x:c r="F17" s="38" t="str"/>
      <x:c r="G17" s="38" t="str">
        <x:v>dirt (default, confirm)</x:v>
      </x:c>
      <x:c r="H17" s="38" t="str"/>
      <x:c r="I17" s="38" t="str">
        <x:v>TrackSection</x:v>
      </x:c>
      <x:c r="J17" s="38" t="str">
        <x:v>Sequential base section with the listed distance and grade; dirt defaults remain provisional.</x:v>
      </x:c>
      <x:c r="K17" s="38" t="str">
        <x:v>Is the grade constant through this whole row? What surface is visible? Does the row include a turn or obstacle not written down?</x:v>
      </x:c>
      <x:c r="L17" s="38" t="str">
        <x:v>length; grade; surface; friction coefficient; rolling-resistance coefficient</x:v>
      </x:c>
      <x:c r="M17" s="38" t="str"/>
      <x:c r="N17" s="38" t="str">
        <x:v>Base data present</x:v>
      </x:c>
      <x:c r="O17" s="38" t="str">
        <x:v>Medium</x:v>
      </x:c>
      <x:c r="P17" s="38" t="str">
        <x:v>Base sections carry persistent elevation change; local features overlay them.</x:v>
      </x:c>
    </x:row>
    <x:row r="18" ht="66" customHeight="1">
      <x:c r="A18" s="38" t="n">
        <x:v>17</x:v>
      </x:c>
      <x:c r="B18" s="46" t="n">
        <x:v>40</x:v>
      </x:c>
      <x:c r="C18" s="46" t="n">
        <x:f>D17</x:f>
        <x:v>480</x:v>
      </x:c>
      <x:c r="D18" s="46" t="n">
        <x:f>C18+B18</x:f>
        <x:v>520</x:v>
      </x:c>
      <x:c r="E18" s="46"/>
      <x:c r="F18" s="38" t="str">
        <x:v>banked shallow 90 deg turn</x:v>
      </x:c>
      <x:c r="G18" s="38" t="str">
        <x:v>dirt (default, confirm)</x:v>
      </x:c>
      <x:c r="H18" s="38" t="str">
        <x:v>looks rocky here; may affect roughness/traction</x:v>
      </x:c>
      <x:c r="I18" s="38" t="str">
        <x:v>CurvatureSegment + RoughPatch/SurfacePatch</x:v>
      </x:c>
      <x:c r="J18" s="38" t="str">
        <x:v>Constant-curvature 90° turn over the listed distance with positive assisting bank.</x:v>
      </x:c>
      <x:c r="K18" s="38" t="str">
        <x:v>Left or right? Does the listed distance equal the arc length? What is the approximate path radius or corner width? What is the bank angle or inside-to-outside height difference? What surface/grip is present through the corner? Does the turn tighten or open?</x:v>
      </x:c>
      <x:c r="L18" s="38" t="str">
        <x:v>start/length; radius; direction; bank angle; roughness/grip parameters</x:v>
      </x:c>
      <x:c r="M18" s="38" t="str"/>
      <x:c r="N18" s="38" t="str">
        <x:v>Needs video review</x:v>
      </x:c>
      <x:c r="O18" s="38" t="str">
        <x:v>Medium</x:v>
      </x:c>
      <x:c r="P18" s="38" t="str">
        <x:v>If radius changes visibly, split the turn into multiple segments rather than forcing one radius.</x:v>
      </x:c>
    </x:row>
    <x:row r="19" ht="66" customHeight="1">
      <x:c r="A19" s="38" t="n">
        <x:v>18</x:v>
      </x:c>
      <x:c r="B19" s="46" t="n">
        <x:v>60</x:v>
      </x:c>
      <x:c r="C19" s="46" t="n">
        <x:f>D18</x:f>
        <x:v>520</x:v>
      </x:c>
      <x:c r="D19" s="46" t="n">
        <x:f>C19+B19</x:f>
        <x:v>580</x:v>
      </x:c>
      <x:c r="E19" s="46"/>
      <x:c r="F19" s="38" t="str">
        <x:v>shallow 180 deg turn</x:v>
      </x:c>
      <x:c r="G19" s="38" t="str">
        <x:v>dirt (default, confirm)</x:v>
      </x:c>
      <x:c r="H19" s="38" t="str"/>
      <x:c r="I19" s="38" t="str">
        <x:v>CurvatureSegment</x:v>
      </x:c>
      <x:c r="J19" s="38" t="str">
        <x:v>Constant-curvature 180° turn over the listed distance.</x:v>
      </x:c>
      <x:c r="K19" s="38" t="str">
        <x:v>Left or right? Does the listed distance equal the arc length? What is the approximate path radius or corner width? What surface/grip is present through the corner? Does the turn tighten or open?</x:v>
      </x:c>
      <x:c r="L19" s="38" t="str">
        <x:v>start/length; radius; direction; bank angle</x:v>
      </x:c>
      <x:c r="M19" s="38" t="str"/>
      <x:c r="N19" s="38" t="str">
        <x:v>Needs video review</x:v>
      </x:c>
      <x:c r="O19" s="38" t="str">
        <x:v>Medium</x:v>
      </x:c>
      <x:c r="P19" s="38" t="str">
        <x:v>If radius changes visibly, split the turn into multiple segments rather than forcing one radius.</x:v>
      </x:c>
    </x:row>
    <x:row r="20" ht="66" customHeight="1">
      <x:c r="A20" s="38" t="n">
        <x:v>19</x:v>
      </x:c>
      <x:c r="B20" s="46" t="n">
        <x:v>40</x:v>
      </x:c>
      <x:c r="C20" s="46" t="n">
        <x:f>D19</x:f>
        <x:v>580</x:v>
      </x:c>
      <x:c r="D20" s="46" t="n">
        <x:f>C20+B20</x:f>
        <x:v>620</x:v>
      </x:c>
      <x:c r="E20" s="46"/>
      <x:c r="F20" s="38" t="str">
        <x:v>slaloms</x:v>
      </x:c>
      <x:c r="G20" s="38" t="str">
        <x:v>dirt (default, confirm)</x:v>
      </x:c>
      <x:c r="H20" s="38" t="str"/>
      <x:c r="I20" s="38" t="str">
        <x:v>SlalomSegment</x:v>
      </x:c>
      <x:c r="J20" s="38" t="str">
        <x:v>Smooth alternating-curvature segment across the listed distance.</x:v>
      </x:c>
      <x:c r="K20" s="38" t="str">
        <x:v>How many distinct bends/gates? Which way is the first bend? Approximate gate spacing? Approximate lateral offset or tightest turn radius? Is the whole row slalom?</x:v>
      </x:c>
      <x:c r="L20" s="38" t="str">
        <x:v>bend_count; start/length; peak curvature or minimum radius; initial direction</x:v>
      </x:c>
      <x:c r="M20" s="38" t="str"/>
      <x:c r="N20" s="38" t="str">
        <x:v>Needs video review</x:v>
      </x:c>
      <x:c r="O20" s="38" t="str">
        <x:v>Medium</x:v>
      </x:c>
      <x:c r="P20" s="38" t="str">
        <x:v>Use separate CurvatureSegments instead if individual bends can be measured clearly.</x:v>
      </x:c>
    </x:row>
    <x:row r="21" ht="66" customHeight="1">
      <x:c r="A21" s="38" t="n">
        <x:v>20</x:v>
      </x:c>
      <x:c r="B21" s="46" t="n">
        <x:v>5</x:v>
      </x:c>
      <x:c r="C21" s="46" t="n">
        <x:f>D20</x:f>
        <x:v>620</x:v>
      </x:c>
      <x:c r="D21" s="46" t="n">
        <x:f>C21+B21</x:f>
        <x:v>625</x:v>
      </x:c>
      <x:c r="E21" s="46"/>
      <x:c r="F21" s="38" t="str">
        <x:v>medium 90 deg turn</x:v>
      </x:c>
      <x:c r="G21" s="38" t="str">
        <x:v>dirt (default, confirm)</x:v>
      </x:c>
      <x:c r="H21" s="38" t="str"/>
      <x:c r="I21" s="38" t="str">
        <x:v>CurvatureSegment</x:v>
      </x:c>
      <x:c r="J21" s="38" t="str">
        <x:v>Constant-curvature 90° turn over the listed distance.</x:v>
      </x:c>
      <x:c r="K21" s="38" t="str">
        <x:v>Left or right? Does the listed distance equal the arc length? What is the approximate path radius or corner width? What surface/grip is present through the corner? Does the turn tighten or open?</x:v>
      </x:c>
      <x:c r="L21" s="38" t="str">
        <x:v>start/length; radius; direction; bank angle</x:v>
      </x:c>
      <x:c r="M21" s="38" t="str"/>
      <x:c r="N21" s="38" t="str">
        <x:v>Needs video review</x:v>
      </x:c>
      <x:c r="O21" s="38" t="str">
        <x:v>Medium</x:v>
      </x:c>
      <x:c r="P21" s="38" t="str">
        <x:v>If radius changes visibly, split the turn into multiple segments rather than forcing one radius.</x:v>
      </x:c>
    </x:row>
    <x:row r="22" ht="66" customHeight="1">
      <x:c r="A22" s="38" t="n">
        <x:v>21</x:v>
      </x:c>
      <x:c r="B22" s="46" t="n">
        <x:v>30</x:v>
      </x:c>
      <x:c r="C22" s="46" t="n">
        <x:f>D21</x:f>
        <x:v>625</x:v>
      </x:c>
      <x:c r="D22" s="46" t="n">
        <x:f>C22+B22</x:f>
        <x:v>655</x:v>
      </x:c>
      <x:c r="E22" s="46"/>
      <x:c r="F22" s="38" t="str">
        <x:v>worse slaloms</x:v>
      </x:c>
      <x:c r="G22" s="38" t="str">
        <x:v>dirt (default, confirm)</x:v>
      </x:c>
      <x:c r="H22" s="38" t="str"/>
      <x:c r="I22" s="38" t="str">
        <x:v>SlalomSegment</x:v>
      </x:c>
      <x:c r="J22" s="38" t="str">
        <x:v>Smooth alternating-curvature segment across the listed distance.</x:v>
      </x:c>
      <x:c r="K22" s="38" t="str">
        <x:v>How many distinct bends/gates? Which way is the first bend? Approximate gate spacing? Approximate lateral offset or tightest turn radius? Is the whole row slalom?</x:v>
      </x:c>
      <x:c r="L22" s="38" t="str">
        <x:v>bend_count; start/length; peak curvature or minimum radius; initial direction</x:v>
      </x:c>
      <x:c r="M22" s="38" t="str"/>
      <x:c r="N22" s="38" t="str">
        <x:v>Needs video review</x:v>
      </x:c>
      <x:c r="O22" s="38" t="str">
        <x:v>Medium</x:v>
      </x:c>
      <x:c r="P22" s="38" t="str">
        <x:v>Use separate CurvatureSegments instead if individual bends can be measured clearly.</x:v>
      </x:c>
    </x:row>
    <x:row r="23" ht="66" customHeight="1">
      <x:c r="A23" s="38" t="n">
        <x:v>22</x:v>
      </x:c>
      <x:c r="B23" s="46" t="n">
        <x:v>5</x:v>
      </x:c>
      <x:c r="C23" s="46" t="n">
        <x:f>D22</x:f>
        <x:v>655</x:v>
      </x:c>
      <x:c r="D23" s="46" t="n">
        <x:f>C23+B23</x:f>
        <x:v>660</x:v>
      </x:c>
      <x:c r="E23" s="46"/>
      <x:c r="F23" s="38" t="str">
        <x:v>medium 90 deg turn</x:v>
      </x:c>
      <x:c r="G23" s="38" t="str">
        <x:v>dirt (default, confirm)</x:v>
      </x:c>
      <x:c r="H23" s="38" t="str"/>
      <x:c r="I23" s="38" t="str">
        <x:v>CurvatureSegment</x:v>
      </x:c>
      <x:c r="J23" s="38" t="str">
        <x:v>Constant-curvature 90° turn over the listed distance.</x:v>
      </x:c>
      <x:c r="K23" s="38" t="str">
        <x:v>Left or right? Does the listed distance equal the arc length? What is the approximate path radius or corner width? What surface/grip is present through the corner? Does the turn tighten or open?</x:v>
      </x:c>
      <x:c r="L23" s="38" t="str">
        <x:v>start/length; radius; direction; bank angle</x:v>
      </x:c>
      <x:c r="M23" s="38" t="str"/>
      <x:c r="N23" s="38" t="str">
        <x:v>Needs video review</x:v>
      </x:c>
      <x:c r="O23" s="38" t="str">
        <x:v>Medium</x:v>
      </x:c>
      <x:c r="P23" s="38" t="str">
        <x:v>If radius changes visibly, split the turn into multiple segments rather than forcing one radius.</x:v>
      </x:c>
    </x:row>
    <x:row r="24" ht="66" customHeight="1">
      <x:c r="A24" s="38" t="n">
        <x:v>23</x:v>
      </x:c>
      <x:c r="B24" s="46" t="n">
        <x:v>20</x:v>
      </x:c>
      <x:c r="C24" s="46" t="n">
        <x:f>D23</x:f>
        <x:v>660</x:v>
      </x:c>
      <x:c r="D24" s="46" t="n">
        <x:f>C24+B24</x:f>
        <x:v>680</x:v>
      </x:c>
      <x:c r="E24" s="46"/>
      <x:c r="F24" s="38" t="str"/>
      <x:c r="G24" s="38" t="str">
        <x:v>dirt (default, confirm)</x:v>
      </x:c>
      <x:c r="H24" s="38" t="str"/>
      <x:c r="I24" s="38" t="str">
        <x:v>TrackSection</x:v>
      </x:c>
      <x:c r="J24" s="38" t="str">
        <x:v>Sequential base section with the listed distance and grade; dirt defaults remain provisional.</x:v>
      </x:c>
      <x:c r="K24" s="38" t="str">
        <x:v>Is the grade constant through this whole row? What surface is visible? Does the row include a turn or obstacle not written down?</x:v>
      </x:c>
      <x:c r="L24" s="38" t="str">
        <x:v>length; grade; surface; friction coefficient; rolling-resistance coefficient</x:v>
      </x:c>
      <x:c r="M24" s="38" t="str"/>
      <x:c r="N24" s="38" t="str">
        <x:v>Base data present</x:v>
      </x:c>
      <x:c r="O24" s="38" t="str">
        <x:v>Medium</x:v>
      </x:c>
      <x:c r="P24" s="38" t="str">
        <x:v>Base sections carry persistent elevation change; local features overlay them.</x:v>
      </x:c>
    </x:row>
    <x:row r="25" ht="66" customHeight="1">
      <x:c r="A25" s="38" t="n">
        <x:v>24</x:v>
      </x:c>
      <x:c r="B25" s="46" t="n">
        <x:v>20</x:v>
      </x:c>
      <x:c r="C25" s="46" t="n">
        <x:f>D24</x:f>
        <x:v>680</x:v>
      </x:c>
      <x:c r="D25" s="46" t="n">
        <x:f>C25+B25</x:f>
        <x:v>700</x:v>
      </x:c>
      <x:c r="E25" s="46"/>
      <x:c r="F25" s="38" t="str">
        <x:v>3 big hills</x:v>
      </x:c>
      <x:c r="G25" s="38" t="str">
        <x:v>dirt (default, confirm)</x:v>
      </x:c>
      <x:c r="H25" s="38" t="str"/>
      <x:c r="I25" s="38" t="str">
        <x:v>WhoopTrain</x:v>
      </x:c>
      <x:c r="J25" s="38" t="str">
        <x:v>Three repeated smooth elevation obstacles.</x:v>
      </x:c>
      <x:c r="K25" s="38" t="str">
        <x:v>Height of each hill? Crest-to-crest spacing? Are all three similar? Approximate base length? Does the car stay in contact or unload over crests? Entry/exit speed?</x:v>
      </x:c>
      <x:c r="L25" s="38" t="str">
        <x:v>count=3; wavelength; height; energy loss per obstacle; load-scale limits; traction multiplier</x:v>
      </x:c>
      <x:c r="M25" s="38" t="str"/>
      <x:c r="N25" s="38" t="str">
        <x:v>Needs video review</x:v>
      </x:c>
      <x:c r="O25" s="38" t="str">
        <x:v>Medium</x:v>
      </x:c>
      <x:c r="P25" s="38" t="str">
        <x:v>Use ProfileObstacle entries instead if the three hills differ substantially.</x:v>
      </x:c>
    </x:row>
    <x:row r="26" ht="66" customHeight="1">
      <x:c r="A26" s="38" t="n">
        <x:v>25</x:v>
      </x:c>
      <x:c r="B26" s="46" t="n">
        <x:v>30</x:v>
      </x:c>
      <x:c r="C26" s="46" t="n">
        <x:f>D25</x:f>
        <x:v>700</x:v>
      </x:c>
      <x:c r="D26" s="46" t="n">
        <x:f>C26+B26</x:f>
        <x:v>730</x:v>
      </x:c>
      <x:c r="E26" s="46"/>
      <x:c r="F26" s="38" t="str"/>
      <x:c r="G26" s="38" t="str">
        <x:v>dirt (default, confirm)</x:v>
      </x:c>
      <x:c r="H26" s="38" t="str"/>
      <x:c r="I26" s="38" t="str">
        <x:v>TrackSection</x:v>
      </x:c>
      <x:c r="J26" s="38" t="str">
        <x:v>Sequential base section with the listed distance and grade; dirt defaults remain provisional.</x:v>
      </x:c>
      <x:c r="K26" s="38" t="str">
        <x:v>Is the grade constant through this whole row? What surface is visible? Does the row include a turn or obstacle not written down?</x:v>
      </x:c>
      <x:c r="L26" s="38" t="str">
        <x:v>length; grade; surface; friction coefficient; rolling-resistance coefficient</x:v>
      </x:c>
      <x:c r="M26" s="38" t="str"/>
      <x:c r="N26" s="38" t="str">
        <x:v>Base data present</x:v>
      </x:c>
      <x:c r="O26" s="38" t="str">
        <x:v>Medium</x:v>
      </x:c>
      <x:c r="P26" s="38" t="str">
        <x:v>Base sections carry persistent elevation change; local features overlay them.</x:v>
      </x:c>
    </x:row>
    <x:row r="27" ht="66" customHeight="1">
      <x:c r="A27" s="38" t="n">
        <x:v>26</x:v>
      </x:c>
      <x:c r="B27" s="46" t="n">
        <x:v>5</x:v>
      </x:c>
      <x:c r="C27" s="46" t="n">
        <x:f>D26</x:f>
        <x:v>730</x:v>
      </x:c>
      <x:c r="D27" s="46" t="n">
        <x:f>C27+B27</x:f>
        <x:v>735</x:v>
      </x:c>
      <x:c r="E27" s="46"/>
      <x:c r="F27" s="38" t="str">
        <x:v>logs</x:v>
      </x:c>
      <x:c r="G27" s="38" t="str">
        <x:v>dirt (default, confirm)</x:v>
      </x:c>
      <x:c r="H27" s="38" t="str"/>
      <x:c r="I27" s="38" t="str">
        <x:v>LogCrossing</x:v>
      </x:c>
      <x:c r="J27" s="38" t="str">
        <x:v>One or more localized energy-based log crossings.</x:v>
      </x:c>
      <x:c r="K27" s="38" t="str">
        <x:v>How many logs? Diameter/height of each? Spacing? Crossing angle? Approximate length over which the wheels climb them? Do the tires slip on the logs? Entry and exit speed?</x:v>
      </x:c>
      <x:c r="L27" s="38" t="str">
        <x:v>position(s); crossing length; height; effective lift fraction; impact-loss coefficient; traction multiplier</x:v>
      </x:c>
      <x:c r="M27" s="38" t="str"/>
      <x:c r="N27" s="38" t="str">
        <x:v>Needs video review</x:v>
      </x:c>
      <x:c r="O27" s="38" t="str">
        <x:v>Medium</x:v>
      </x:c>
      <x:c r="P27" s="38" t="str">
        <x:v>Use one LogCrossing per physically separate log unless they are too close to distinguish.</x:v>
      </x:c>
    </x:row>
    <x:row r="28" ht="66" customHeight="1">
      <x:c r="A28" s="38" t="n">
        <x:v>27</x:v>
      </x:c>
      <x:c r="B28" s="46" t="n">
        <x:v>10</x:v>
      </x:c>
      <x:c r="C28" s="46" t="n">
        <x:f>D27</x:f>
        <x:v>735</x:v>
      </x:c>
      <x:c r="D28" s="46" t="n">
        <x:f>C28+B28</x:f>
        <x:v>745</x:v>
      </x:c>
      <x:c r="E28" s="46"/>
      <x:c r="F28" s="38" t="str"/>
      <x:c r="G28" s="38" t="str">
        <x:v>dirt (default, confirm)</x:v>
      </x:c>
      <x:c r="H28" s="38" t="str"/>
      <x:c r="I28" s="38" t="str">
        <x:v>TrackSection</x:v>
      </x:c>
      <x:c r="J28" s="38" t="str">
        <x:v>Sequential base section with the listed distance and grade; dirt defaults remain provisional.</x:v>
      </x:c>
      <x:c r="K28" s="38" t="str">
        <x:v>Is the grade constant through this whole row? What surface is visible? Does the row include a turn or obstacle not written down?</x:v>
      </x:c>
      <x:c r="L28" s="38" t="str">
        <x:v>length; grade; surface; friction coefficient; rolling-resistance coefficient</x:v>
      </x:c>
      <x:c r="M28" s="38" t="str"/>
      <x:c r="N28" s="38" t="str">
        <x:v>Base data present</x:v>
      </x:c>
      <x:c r="O28" s="38" t="str">
        <x:v>Medium</x:v>
      </x:c>
      <x:c r="P28" s="38" t="str">
        <x:v>Base sections carry persistent elevation change; local features overlay them.</x:v>
      </x:c>
    </x:row>
    <x:row r="29" ht="66" customHeight="1">
      <x:c r="A29" s="38" t="n">
        <x:v>28</x:v>
      </x:c>
      <x:c r="B29" s="46" t="n">
        <x:v>5</x:v>
      </x:c>
      <x:c r="C29" s="46" t="n">
        <x:f>D28</x:f>
        <x:v>745</x:v>
      </x:c>
      <x:c r="D29" s="46" t="n">
        <x:f>C29+B29</x:f>
        <x:v>750</x:v>
      </x:c>
      <x:c r="E29" s="46"/>
      <x:c r="F29" s="38" t="str">
        <x:v>hill</x:v>
      </x:c>
      <x:c r="G29" s="38" t="str">
        <x:v>dirt (default, confirm)</x:v>
      </x:c>
      <x:c r="H29" s="38" t="str"/>
      <x:c r="I29" s="38" t="str">
        <x:v>ProfileObstacle</x:v>
      </x:c>
      <x:c r="J29" s="38" t="str">
        <x:v>Smooth measured `bump` elevation profile over the listed distance.</x:v>
      </x:c>
      <x:c r="K29" s="38" t="str">
        <x:v>What is the hill height? What is the obstacle's travel-direction length? Is it one obstacle or several? Does the profile return to the previous elevation, or is there a permanent elevation change? What entry/exit speed and wheel unloading are visible? What is the surface/traction on it?</x:v>
      </x:c>
      <x:c r="L29" s="38" t="str">
        <x:v>start/length; signed vertical amplitude; profile kind; fixed impact loss; speed-dependent impact coefficient; traction multiplier; load-scale limits</x:v>
      </x:c>
      <x:c r="M29" s="38" t="str"/>
      <x:c r="N29" s="38" t="str">
        <x:v>Needs video review</x:v>
      </x:c>
      <x:c r="O29" s="38" t="str">
        <x:v>Medium</x:v>
      </x:c>
      <x:c r="P29" s="38" t="str">
        <x:v>Permanent net elevation changes must be represented in base sections, not only as a local profile overlay.</x:v>
      </x:c>
    </x:row>
    <x:row r="30" ht="66" customHeight="1">
      <x:c r="A30" s="38" t="n">
        <x:v>29</x:v>
      </x:c>
      <x:c r="B30" s="46" t="n">
        <x:v>10</x:v>
      </x:c>
      <x:c r="C30" s="46" t="n">
        <x:f>D29</x:f>
        <x:v>750</x:v>
      </x:c>
      <x:c r="D30" s="46" t="n">
        <x:f>C30+B30</x:f>
        <x:v>760</x:v>
      </x:c>
      <x:c r="E30" s="46"/>
      <x:c r="F30" s="38" t="str"/>
      <x:c r="G30" s="38" t="str">
        <x:v>dirt (default, confirm)</x:v>
      </x:c>
      <x:c r="H30" s="38" t="str"/>
      <x:c r="I30" s="38" t="str">
        <x:v>TrackSection</x:v>
      </x:c>
      <x:c r="J30" s="38" t="str">
        <x:v>Sequential base section with the listed distance and grade; dirt defaults remain provisional.</x:v>
      </x:c>
      <x:c r="K30" s="38" t="str">
        <x:v>Is the grade constant through this whole row? What surface is visible? Does the row include a turn or obstacle not written down?</x:v>
      </x:c>
      <x:c r="L30" s="38" t="str">
        <x:v>length; grade; surface; friction coefficient; rolling-resistance coefficient</x:v>
      </x:c>
      <x:c r="M30" s="38" t="str"/>
      <x:c r="N30" s="38" t="str">
        <x:v>Base data present</x:v>
      </x:c>
      <x:c r="O30" s="38" t="str">
        <x:v>Medium</x:v>
      </x:c>
      <x:c r="P30" s="38" t="str">
        <x:v>Base sections carry persistent elevation change; local features overlay them.</x:v>
      </x:c>
    </x:row>
    <x:row r="31" ht="66" customHeight="1">
      <x:c r="A31" s="38" t="n">
        <x:v>30</x:v>
      </x:c>
      <x:c r="B31" s="46" t="n">
        <x:v>5</x:v>
      </x:c>
      <x:c r="C31" s="46" t="n">
        <x:f>D30</x:f>
        <x:v>760</x:v>
      </x:c>
      <x:c r="D31" s="46" t="n">
        <x:f>C31+B31</x:f>
        <x:v>765</x:v>
      </x:c>
      <x:c r="E31" s="46"/>
      <x:c r="F31" s="38" t="str">
        <x:v>hill</x:v>
      </x:c>
      <x:c r="G31" s="38" t="str">
        <x:v>dirt (default, confirm)</x:v>
      </x:c>
      <x:c r="H31" s="38" t="str"/>
      <x:c r="I31" s="38" t="str">
        <x:v>ProfileObstacle</x:v>
      </x:c>
      <x:c r="J31" s="38" t="str">
        <x:v>Smooth measured `bump` elevation profile over the listed distance.</x:v>
      </x:c>
      <x:c r="K31" s="38" t="str">
        <x:v>What is the hill height? What is the obstacle's travel-direction length? Is it one obstacle or several? Does the profile return to the previous elevation, or is there a permanent elevation change? What entry/exit speed and wheel unloading are visible? What is the surface/traction on it?</x:v>
      </x:c>
      <x:c r="L31" s="38" t="str">
        <x:v>start/length; signed vertical amplitude; profile kind; fixed impact loss; speed-dependent impact coefficient; traction multiplier; load-scale limits</x:v>
      </x:c>
      <x:c r="M31" s="38" t="str"/>
      <x:c r="N31" s="38" t="str">
        <x:v>Needs video review</x:v>
      </x:c>
      <x:c r="O31" s="38" t="str">
        <x:v>Medium</x:v>
      </x:c>
      <x:c r="P31" s="38" t="str">
        <x:v>Permanent net elevation changes must be represented in base sections, not only as a local profile overlay.</x:v>
      </x:c>
    </x:row>
    <x:row r="32" ht="66" customHeight="1">
      <x:c r="A32" s="38" t="n">
        <x:v>31</x:v>
      </x:c>
      <x:c r="B32" s="46" t="n">
        <x:v>20</x:v>
      </x:c>
      <x:c r="C32" s="46" t="n">
        <x:f>D31</x:f>
        <x:v>765</x:v>
      </x:c>
      <x:c r="D32" s="46" t="n">
        <x:f>C32+B32</x:f>
        <x:v>785</x:v>
      </x:c>
      <x:c r="E32" s="46"/>
      <x:c r="F32" s="38" t="str"/>
      <x:c r="G32" s="38" t="str">
        <x:v>dirt (default, confirm)</x:v>
      </x:c>
      <x:c r="H32" s="38" t="str"/>
      <x:c r="I32" s="38" t="str">
        <x:v>TrackSection</x:v>
      </x:c>
      <x:c r="J32" s="38" t="str">
        <x:v>Sequential base section with the listed distance and grade; dirt defaults remain provisional.</x:v>
      </x:c>
      <x:c r="K32" s="38" t="str">
        <x:v>Is the grade constant through this whole row? What surface is visible? Does the row include a turn or obstacle not written down?</x:v>
      </x:c>
      <x:c r="L32" s="38" t="str">
        <x:v>length; grade; surface; friction coefficient; rolling-resistance coefficient</x:v>
      </x:c>
      <x:c r="M32" s="38" t="str"/>
      <x:c r="N32" s="38" t="str">
        <x:v>Base data present</x:v>
      </x:c>
      <x:c r="O32" s="38" t="str">
        <x:v>Medium</x:v>
      </x:c>
      <x:c r="P32" s="38" t="str">
        <x:v>Base sections carry persistent elevation change; local features overlay them.</x:v>
      </x:c>
    </x:row>
    <x:row r="33" ht="66" customHeight="1">
      <x:c r="A33" s="38" t="n">
        <x:v>32</x:v>
      </x:c>
      <x:c r="B33" s="46" t="n">
        <x:v>20</x:v>
      </x:c>
      <x:c r="C33" s="46" t="n">
        <x:f>D32</x:f>
        <x:v>785</x:v>
      </x:c>
      <x:c r="D33" s="46" t="n">
        <x:f>C33+B33</x:f>
        <x:v>805</x:v>
      </x:c>
      <x:c r="E33" s="46"/>
      <x:c r="F33" s="38" t="str">
        <x:v>bumps</x:v>
      </x:c>
      <x:c r="G33" s="38" t="str">
        <x:v>dirt (default, confirm)</x:v>
      </x:c>
      <x:c r="H33" s="38" t="str"/>
      <x:c r="I33" s="38" t="str">
        <x:v>WhoopTrain or RoughPatch</x:v>
      </x:c>
      <x:c r="J33" s="38" t="str">
        <x:v>Repeated bumps: use WhoopTrain when individual crest spacing/height is visible; otherwise use RoughPatch.</x:v>
      </x:c>
      <x:c r="K33" s="38" t="str">
        <x:v>How many bumps? Average height? Crest spacing? Are they regular? Does the car unload or simply vibrate? Approximate speed loss? Surface grip?</x:v>
      </x:c>
      <x:c r="L33" s="38" t="str">
        <x:v>count; wavelength; height; energy loss per bump; load-scale limits; traction multiplier</x:v>
      </x:c>
      <x:c r="M33" s="38" t="str"/>
      <x:c r="N33" s="38" t="str">
        <x:v>Needs video review</x:v>
      </x:c>
      <x:c r="O33" s="38" t="str">
        <x:v>Medium</x:v>
      </x:c>
      <x:c r="P33" s="38" t="str">
        <x:v>Choose RoughPatch if the profile is irregular and cannot be measured obstacle-by-obstacle.</x:v>
      </x:c>
    </x:row>
    <x:row r="34" ht="66" customHeight="1">
      <x:c r="A34" s="38" t="n">
        <x:v>33</x:v>
      </x:c>
      <x:c r="B34" s="46" t="n">
        <x:v>10</x:v>
      </x:c>
      <x:c r="C34" s="46" t="n">
        <x:f>D33</x:f>
        <x:v>805</x:v>
      </x:c>
      <x:c r="D34" s="46" t="n">
        <x:f>C34+B34</x:f>
        <x:v>815</x:v>
      </x:c>
      <x:c r="E34" s="46"/>
      <x:c r="F34" s="38" t="str"/>
      <x:c r="G34" s="38" t="str">
        <x:v>dirt (default, confirm)</x:v>
      </x:c>
      <x:c r="H34" s="38" t="str"/>
      <x:c r="I34" s="38" t="str">
        <x:v>TrackSection</x:v>
      </x:c>
      <x:c r="J34" s="38" t="str">
        <x:v>Sequential base section with the listed distance and grade; dirt defaults remain provisional.</x:v>
      </x:c>
      <x:c r="K34" s="38" t="str">
        <x:v>Is the grade constant through this whole row? What surface is visible? Does the row include a turn or obstacle not written down?</x:v>
      </x:c>
      <x:c r="L34" s="38" t="str">
        <x:v>length; grade; surface; friction coefficient; rolling-resistance coefficient</x:v>
      </x:c>
      <x:c r="M34" s="38" t="str"/>
      <x:c r="N34" s="38" t="str">
        <x:v>Base data present</x:v>
      </x:c>
      <x:c r="O34" s="38" t="str">
        <x:v>Medium</x:v>
      </x:c>
      <x:c r="P34" s="38" t="str">
        <x:v>Base sections carry persistent elevation change; local features overlay them.</x:v>
      </x:c>
    </x:row>
    <x:row r="35" ht="66" customHeight="1">
      <x:c r="A35" s="38" t="n">
        <x:v>34</x:v>
      </x:c>
      <x:c r="B35" s="46" t="n">
        <x:v>20</x:v>
      </x:c>
      <x:c r="C35" s="46" t="n">
        <x:f>D34</x:f>
        <x:v>815</x:v>
      </x:c>
      <x:c r="D35" s="46" t="n">
        <x:f>C35+B35</x:f>
        <x:v>835</x:v>
      </x:c>
      <x:c r="E35" s="46"/>
      <x:c r="F35" s="38" t="str">
        <x:v>ruts</x:v>
      </x:c>
      <x:c r="G35" s="38" t="str">
        <x:v>dirt (default, confirm)</x:v>
      </x:c>
      <x:c r="H35" s="38" t="str"/>
      <x:c r="I35" s="38" t="str">
        <x:v>RoughPatch</x:v>
      </x:c>
      <x:c r="J35" s="38" t="str">
        <x:v>Distributed ruts/rough terrain with periodic load variation, extra resistance, and optional grip changes.</x:v>
      </x:c>
      <x:c r="K35" s="38" t="str">
        <x:v>How deep are the ruts? Approximate spacing/wavelength? Are they parallel or transverse to travel? Wet or dry? Do wheels unload? What entry/exit speed reduction is visible? Does the driver choose a slower line?</x:v>
      </x:c>
      <x:c r="L35" s="38" t="str">
        <x:v>start/length; roughness wavelength; load-variation fraction; energy loss per metre; speed-squared loss coefficient; friction/rolling modifiers</x:v>
      </x:c>
      <x:c r="M35" s="38" t="str"/>
      <x:c r="N35" s="38" t="str">
        <x:v>Needs video review</x:v>
      </x:c>
      <x:c r="O35" s="38" t="str">
        <x:v>Medium</x:v>
      </x:c>
      <x:c r="P35" s="38" t="str">
        <x:v>This is an effective longitudinal model; detailed left/right wheel behavior is outside scope.</x:v>
      </x:c>
    </x:row>
    <x:row r="36" ht="66" customHeight="1">
      <x:c r="A36" s="38" t="n">
        <x:v>35</x:v>
      </x:c>
      <x:c r="B36" s="46" t="n">
        <x:v>20</x:v>
      </x:c>
      <x:c r="C36" s="46" t="n">
        <x:f>D35</x:f>
        <x:v>835</x:v>
      </x:c>
      <x:c r="D36" s="46" t="n">
        <x:f>C36+B36</x:f>
        <x:v>855</x:v>
      </x:c>
      <x:c r="E36" s="46"/>
      <x:c r="F36" s="38" t="str"/>
      <x:c r="G36" s="38" t="str">
        <x:v>dirt (default, confirm)</x:v>
      </x:c>
      <x:c r="H36" s="38" t="str">
        <x:v>water here -- may or may not affect endurance</x:v>
      </x:c>
      <x:c r="I36" s="38" t="str">
        <x:v>SurfacePatch</x:v>
      </x:c>
      <x:c r="J36" s="38" t="str">
        <x:v>Keep the base section geometry; overlay a wet/water surface patch if the video shows meaningful grip or drag change.</x:v>
      </x:c>
      <x:c r="K36" s="38" t="str">
        <x:v>How long is the wet section? How deep is it? What is underneath the water? Do wheels spin or does the car visibly slow? Is the entire lane wet?</x:v>
      </x:c>
      <x:c r="L36" s="38" t="str">
        <x:v>patch start/length; surface label; friction coefficient or multiplier; rolling-resistance coefficient or multiplier</x:v>
      </x:c>
      <x:c r="M36" s="38" t="str"/>
      <x:c r="N36" s="38" t="str">
        <x:v>Needs video review</x:v>
      </x:c>
      <x:c r="O36" s="38" t="str">
        <x:v>Medium</x:v>
      </x:c>
      <x:c r="P36" s="38" t="str">
        <x:v>Water can be ignored if it is visually shallow and produces no repeatable speed or traction change.</x:v>
      </x:c>
    </x:row>
    <x:row r="37" ht="66" customHeight="1">
      <x:c r="A37" s="38" t="n">
        <x:v>36</x:v>
      </x:c>
      <x:c r="B37" s="46" t="n">
        <x:v>20</x:v>
      </x:c>
      <x:c r="C37" s="46" t="n">
        <x:f>D36</x:f>
        <x:v>855</x:v>
      </x:c>
      <x:c r="D37" s="46" t="n">
        <x:f>C37+B37</x:f>
        <x:v>875</x:v>
      </x:c>
      <x:c r="E37" s="46" t="n">
        <x:v>20</x:v>
      </x:c>
      <x:c r="F37" s="38" t="str"/>
      <x:c r="G37" s="38" t="str">
        <x:v>dirt (default, confirm)</x:v>
      </x:c>
      <x:c r="H37" s="38" t="str"/>
      <x:c r="I37" s="38" t="str">
        <x:v>TrackSection</x:v>
      </x:c>
      <x:c r="J37" s="38" t="str">
        <x:v>Sequential base section with the listed distance and grade; dirt defaults remain provisional.</x:v>
      </x:c>
      <x:c r="K37" s="38" t="str">
        <x:v>Is the grade constant through this whole row? What surface is visible? Does the row include a turn or obstacle not written down?</x:v>
      </x:c>
      <x:c r="L37" s="38" t="str">
        <x:v>length; grade; surface; friction coefficient; rolling-resistance coefficient</x:v>
      </x:c>
      <x:c r="M37" s="38" t="str"/>
      <x:c r="N37" s="38" t="str">
        <x:v>Base data present</x:v>
      </x:c>
      <x:c r="O37" s="38" t="str">
        <x:v>High</x:v>
      </x:c>
      <x:c r="P37" s="38" t="str">
        <x:v>Base sections carry persistent elevation change; local features overlay them.</x:v>
      </x:c>
    </x:row>
    <x:row r="38" ht="66" customHeight="1">
      <x:c r="A38" s="38" t="n">
        <x:v>37</x:v>
      </x:c>
      <x:c r="B38" s="46" t="n">
        <x:v>10</x:v>
      </x:c>
      <x:c r="C38" s="46" t="n">
        <x:f>D37</x:f>
        <x:v>875</x:v>
      </x:c>
      <x:c r="D38" s="46" t="n">
        <x:f>C38+B38</x:f>
        <x:v>885</x:v>
      </x:c>
      <x:c r="E38" s="46"/>
      <x:c r="F38" s="38" t="str">
        <x:v>downhill steps</x:v>
      </x:c>
      <x:c r="G38" s="38" t="str">
        <x:v>dirt (default, confirm)</x:v>
      </x:c>
      <x:c r="H38" s="38" t="str"/>
      <x:c r="I38" s="38" t="str">
        <x:v>RoughPatch or repeated ProfileObstacle</x:v>
      </x:c>
      <x:c r="J38" s="38" t="str">
        <x:v>Represent repeated downhill steps as a rough patch unless each step can be measured; put the net downhill elevation in the base section.</x:v>
      </x:c>
      <x:c r="K38" s="38" t="str">
        <x:v>How many steps? Height and run of each? Is there a persistent net drop? Are landings visible? Does the vehicle unload? Entry/exit speed?</x:v>
      </x:c>
      <x:c r="L38" s="38" t="str">
        <x:v>net base grade; step spacing; step height; roughness/load variation; energy loss; traction multiplier</x:v>
      </x:c>
      <x:c r="M38" s="38" t="str"/>
      <x:c r="N38" s="38" t="str">
        <x:v>Needs video review</x:v>
      </x:c>
      <x:c r="O38" s="38" t="str">
        <x:v>Low</x:v>
      </x:c>
      <x:c r="P38" s="38" t="str">
        <x:v>A permanent drop belongs in base-section elevation; the feature represents repeated local impacts.</x:v>
      </x:c>
    </x:row>
    <x:row r="39" ht="66" customHeight="1">
      <x:c r="A39" s="38" t="n">
        <x:v>38</x:v>
      </x:c>
      <x:c r="B39" s="46" t="n">
        <x:v>10</x:v>
      </x:c>
      <x:c r="C39" s="46" t="n">
        <x:f>D38</x:f>
        <x:v>885</x:v>
      </x:c>
      <x:c r="D39" s="46" t="n">
        <x:f>C39+B39</x:f>
        <x:v>895</x:v>
      </x:c>
      <x:c r="E39" s="46"/>
      <x:c r="F39" s="38" t="str"/>
      <x:c r="G39" s="38" t="str">
        <x:v>dirt (default, confirm)</x:v>
      </x:c>
      <x:c r="H39" s="38" t="str"/>
      <x:c r="I39" s="38" t="str">
        <x:v>TrackSection</x:v>
      </x:c>
      <x:c r="J39" s="38" t="str">
        <x:v>Sequential base section with the listed distance and grade; dirt defaults remain provisional.</x:v>
      </x:c>
      <x:c r="K39" s="38" t="str">
        <x:v>Is the grade constant through this whole row? What surface is visible? Does the row include a turn or obstacle not written down?</x:v>
      </x:c>
      <x:c r="L39" s="38" t="str">
        <x:v>length; grade; surface; friction coefficient; rolling-resistance coefficient</x:v>
      </x:c>
      <x:c r="M39" s="38" t="str"/>
      <x:c r="N39" s="38" t="str">
        <x:v>Base data present</x:v>
      </x:c>
      <x:c r="O39" s="38" t="str">
        <x:v>Medium</x:v>
      </x:c>
      <x:c r="P39" s="38" t="str">
        <x:v>Base sections carry persistent elevation change; local features overlay them.</x:v>
      </x:c>
    </x:row>
    <x:row r="40" ht="66" customHeight="1">
      <x:c r="A40" s="38" t="n">
        <x:v>39</x:v>
      </x:c>
      <x:c r="B40" s="46" t="n">
        <x:v>50</x:v>
      </x:c>
      <x:c r="C40" s="46" t="n">
        <x:f>D39</x:f>
        <x:v>895</x:v>
      </x:c>
      <x:c r="D40" s="46" t="n">
        <x:f>C40+B40</x:f>
        <x:v>945</x:v>
      </x:c>
      <x:c r="E40" s="46"/>
      <x:c r="F40" s="38" t="str">
        <x:v>bumps</x:v>
      </x:c>
      <x:c r="G40" s="38" t="str">
        <x:v>dirt (default, confirm)</x:v>
      </x:c>
      <x:c r="H40" s="38" t="str"/>
      <x:c r="I40" s="38" t="str">
        <x:v>WhoopTrain or RoughPatch</x:v>
      </x:c>
      <x:c r="J40" s="38" t="str">
        <x:v>Repeated bumps: use WhoopTrain when individual crest spacing/height is visible; otherwise use RoughPatch.</x:v>
      </x:c>
      <x:c r="K40" s="38" t="str">
        <x:v>How many bumps? Average height? Crest spacing? Are they regular? Does the car unload or simply vibrate? Approximate speed loss? Surface grip?</x:v>
      </x:c>
      <x:c r="L40" s="38" t="str">
        <x:v>count; wavelength; height; energy loss per bump; load-scale limits; traction multiplier</x:v>
      </x:c>
      <x:c r="M40" s="38" t="str"/>
      <x:c r="N40" s="38" t="str">
        <x:v>Needs video review</x:v>
      </x:c>
      <x:c r="O40" s="38" t="str">
        <x:v>Medium</x:v>
      </x:c>
      <x:c r="P40" s="38" t="str">
        <x:v>Choose RoughPatch if the profile is irregular and cannot be measured obstacle-by-obstacle.</x:v>
      </x:c>
    </x:row>
    <x:row r="41" ht="66" customHeight="1">
      <x:c r="A41" s="38" t="n">
        <x:v>40</x:v>
      </x:c>
      <x:c r="B41" s="46" t="n">
        <x:v>30</x:v>
      </x:c>
      <x:c r="C41" s="46" t="n">
        <x:f>D40</x:f>
        <x:v>945</x:v>
      </x:c>
      <x:c r="D41" s="46" t="n">
        <x:f>C41+B41</x:f>
        <x:v>975</x:v>
      </x:c>
      <x:c r="E41" s="46"/>
      <x:c r="F41" s="38" t="str"/>
      <x:c r="G41" s="38" t="str">
        <x:v>dirt (default, confirm)</x:v>
      </x:c>
      <x:c r="H41" s="38" t="str"/>
      <x:c r="I41" s="38" t="str">
        <x:v>TrackSection</x:v>
      </x:c>
      <x:c r="J41" s="38" t="str">
        <x:v>Sequential base section with the listed distance and grade; dirt defaults remain provisional.</x:v>
      </x:c>
      <x:c r="K41" s="38" t="str">
        <x:v>Is the grade constant through this whole row? What surface is visible? Does the row include a turn or obstacle not written down?</x:v>
      </x:c>
      <x:c r="L41" s="38" t="str">
        <x:v>length; grade; surface; friction coefficient; rolling-resistance coefficient</x:v>
      </x:c>
      <x:c r="M41" s="38" t="str"/>
      <x:c r="N41" s="38" t="str">
        <x:v>Base data present</x:v>
      </x:c>
      <x:c r="O41" s="38" t="str">
        <x:v>Medium</x:v>
      </x:c>
      <x:c r="P41" s="38" t="str">
        <x:v>Base sections carry persistent elevation change; local features overlay them.</x:v>
      </x:c>
    </x:row>
    <x:row r="42" ht="66" customHeight="1">
      <x:c r="A42" s="38" t="n">
        <x:v>41</x:v>
      </x:c>
      <x:c r="B42" s="46" t="n">
        <x:v>10</x:v>
      </x:c>
      <x:c r="C42" s="46" t="n">
        <x:f>D41</x:f>
        <x:v>975</x:v>
      </x:c>
      <x:c r="D42" s="46" t="n">
        <x:f>C42+B42</x:f>
        <x:v>985</x:v>
      </x:c>
      <x:c r="E42" s="46"/>
      <x:c r="F42" s="38" t="str">
        <x:v>hill (+ tires optionally)</x:v>
      </x:c>
      <x:c r="G42" s="38" t="str">
        <x:v>dirt (default, confirm)</x:v>
      </x:c>
      <x:c r="H42" s="38" t="str">
        <x:v>optional obstacle / alternate line</x:v>
      </x:c>
      <x:c r="I42" s="38" t="str">
        <x:v>Track variant</x:v>
      </x:c>
      <x:c r="J42" s="38" t="str">
        <x:v>Represent the optional line as a separate track JSON or alternate feature set for now.</x:v>
      </x:c>
      <x:c r="K42" s="38" t="str">
        <x:v>Is this obstacle always taken? Where does the optional line leave and rejoin? What is the distance difference? What obstacle dimensions and surface apply on each line?</x:v>
      </x:c>
      <x:c r="L42" s="38" t="str">
        <x:v>two track variants; branch/rejoin distances; feature parameters for each line</x:v>
      </x:c>
      <x:c r="M42" s="38" t="str"/>
      <x:c r="N42" s="38" t="str">
        <x:v>Needs video review</x:v>
      </x:c>
      <x:c r="O42" s="38" t="str">
        <x:v>Low</x:v>
      </x:c>
      <x:c r="P42" s="38" t="str">
        <x:v>Dynamic route choice is intentionally not part of the current physical track schema.</x:v>
      </x:c>
    </x:row>
    <x:row r="43" ht="66" customHeight="1">
      <x:c r="A43" s="38" t="n">
        <x:v>42</x:v>
      </x:c>
      <x:c r="B43" s="46" t="n">
        <x:v>40</x:v>
      </x:c>
      <x:c r="C43" s="46" t="n">
        <x:f>D42</x:f>
        <x:v>985</x:v>
      </x:c>
      <x:c r="D43" s="46" t="n">
        <x:f>C43+B43</x:f>
        <x:v>1025</x:v>
      </x:c>
      <x:c r="E43" s="46"/>
      <x:c r="F43" s="38" t="str"/>
      <x:c r="G43" s="38" t="str">
        <x:v>dirt (default, confirm)</x:v>
      </x:c>
      <x:c r="H43" s="38" t="str"/>
      <x:c r="I43" s="38" t="str">
        <x:v>TrackSection</x:v>
      </x:c>
      <x:c r="J43" s="38" t="str">
        <x:v>Sequential base section with the listed distance and grade; dirt defaults remain provisional.</x:v>
      </x:c>
      <x:c r="K43" s="38" t="str">
        <x:v>Is the grade constant through this whole row? What surface is visible? Does the row include a turn or obstacle not written down?</x:v>
      </x:c>
      <x:c r="L43" s="38" t="str">
        <x:v>length; grade; surface; friction coefficient; rolling-resistance coefficient</x:v>
      </x:c>
      <x:c r="M43" s="38" t="str"/>
      <x:c r="N43" s="38" t="str">
        <x:v>Base data present</x:v>
      </x:c>
      <x:c r="O43" s="38" t="str">
        <x:v>Medium</x:v>
      </x:c>
      <x:c r="P43" s="38" t="str">
        <x:v>Base sections carry persistent elevation change; local features overlay them.</x:v>
      </x:c>
    </x:row>
    <x:row r="44" ht="66" customHeight="1">
      <x:c r="A44" s="38" t="n">
        <x:v>43</x:v>
      </x:c>
      <x:c r="B44" s="46" t="n">
        <x:v>5</x:v>
      </x:c>
      <x:c r="C44" s="46" t="n">
        <x:f>D43</x:f>
        <x:v>1025</x:v>
      </x:c>
      <x:c r="D44" s="46" t="n">
        <x:f>C44+B44</x:f>
        <x:v>1030</x:v>
      </x:c>
      <x:c r="E44" s="46" t="n">
        <x:v>20</x:v>
      </x:c>
      <x:c r="F44" s="38" t="str"/>
      <x:c r="G44" s="38" t="str">
        <x:v>dirt (default, confirm)</x:v>
      </x:c>
      <x:c r="H44" s="38" t="str"/>
      <x:c r="I44" s="38" t="str">
        <x:v>TrackSection</x:v>
      </x:c>
      <x:c r="J44" s="38" t="str">
        <x:v>Sequential base section with the listed distance and grade; dirt defaults remain provisional.</x:v>
      </x:c>
      <x:c r="K44" s="38" t="str">
        <x:v>Is the grade constant through this whole row? What surface is visible? Does the row include a turn or obstacle not written down?</x:v>
      </x:c>
      <x:c r="L44" s="38" t="str">
        <x:v>length; grade; surface; friction coefficient; rolling-resistance coefficient</x:v>
      </x:c>
      <x:c r="M44" s="38" t="str"/>
      <x:c r="N44" s="38" t="str">
        <x:v>Base data present</x:v>
      </x:c>
      <x:c r="O44" s="38" t="str">
        <x:v>High</x:v>
      </x:c>
      <x:c r="P44" s="38" t="str">
        <x:v>Base sections carry persistent elevation change; local features overlay them.</x:v>
      </x:c>
    </x:row>
    <x:row r="45" ht="66" customHeight="1">
      <x:c r="A45" s="38" t="n">
        <x:v>44</x:v>
      </x:c>
      <x:c r="B45" s="46" t="n">
        <x:v>10</x:v>
      </x:c>
      <x:c r="C45" s="46" t="n">
        <x:f>D44</x:f>
        <x:v>1030</x:v>
      </x:c>
      <x:c r="D45" s="46" t="n">
        <x:f>C45+B45</x:f>
        <x:v>1040</x:v>
      </x:c>
      <x:c r="E45" s="46"/>
      <x:c r="F45" s="38" t="str"/>
      <x:c r="G45" s="38" t="str">
        <x:v>dirt (default, confirm)</x:v>
      </x:c>
      <x:c r="H45" s="38" t="str"/>
      <x:c r="I45" s="38" t="str">
        <x:v>TrackSection</x:v>
      </x:c>
      <x:c r="J45" s="38" t="str">
        <x:v>Sequential base section with the listed distance and grade; dirt defaults remain provisional.</x:v>
      </x:c>
      <x:c r="K45" s="38" t="str">
        <x:v>Is the grade constant through this whole row? What surface is visible? Does the row include a turn or obstacle not written down?</x:v>
      </x:c>
      <x:c r="L45" s="38" t="str">
        <x:v>length; grade; surface; friction coefficient; rolling-resistance coefficient</x:v>
      </x:c>
      <x:c r="M45" s="38" t="str"/>
      <x:c r="N45" s="38" t="str">
        <x:v>Base data present</x:v>
      </x:c>
      <x:c r="O45" s="38" t="str">
        <x:v>Medium</x:v>
      </x:c>
      <x:c r="P45" s="38" t="str">
        <x:v>Base sections carry persistent elevation change; local features overlay them.</x:v>
      </x:c>
    </x:row>
    <x:row r="46" ht="66" customHeight="1">
      <x:c r="A46" s="38" t="n">
        <x:v>45</x:v>
      </x:c>
      <x:c r="B46" s="46" t="n">
        <x:v>5</x:v>
      </x:c>
      <x:c r="C46" s="46" t="n">
        <x:f>D45</x:f>
        <x:v>1040</x:v>
      </x:c>
      <x:c r="D46" s="46" t="n">
        <x:f>C46+B46</x:f>
        <x:v>1045</x:v>
      </x:c>
      <x:c r="E46" s="46" t="n">
        <x:v>-20</x:v>
      </x:c>
      <x:c r="F46" s="38" t="str"/>
      <x:c r="G46" s="38" t="str">
        <x:v>dirt (default, confirm)</x:v>
      </x:c>
      <x:c r="H46" s="38" t="str"/>
      <x:c r="I46" s="38" t="str">
        <x:v>TrackSection</x:v>
      </x:c>
      <x:c r="J46" s="38" t="str">
        <x:v>Sequential base section with the listed distance and grade; dirt defaults remain provisional.</x:v>
      </x:c>
      <x:c r="K46" s="38" t="str">
        <x:v>Is the grade constant through this whole row? What surface is visible? Does the row include a turn or obstacle not written down?</x:v>
      </x:c>
      <x:c r="L46" s="38" t="str">
        <x:v>length; grade; surface; friction coefficient; rolling-resistance coefficient</x:v>
      </x:c>
      <x:c r="M46" s="38" t="str"/>
      <x:c r="N46" s="38" t="str">
        <x:v>Base data present</x:v>
      </x:c>
      <x:c r="O46" s="38" t="str">
        <x:v>High</x:v>
      </x:c>
      <x:c r="P46" s="38" t="str">
        <x:v>Base sections carry persistent elevation change; local features overlay them.</x:v>
      </x:c>
    </x:row>
    <x:row r="47" ht="66" customHeight="1">
      <x:c r="A47" s="38" t="n">
        <x:v>46</x:v>
      </x:c>
      <x:c r="B47" s="46" t="n">
        <x:v>20</x:v>
      </x:c>
      <x:c r="C47" s="46" t="n">
        <x:f>D46</x:f>
        <x:v>1045</x:v>
      </x:c>
      <x:c r="D47" s="46" t="n">
        <x:f>C47+B47</x:f>
        <x:v>1065</x:v>
      </x:c>
      <x:c r="E47" s="46"/>
      <x:c r="F47" s="38" t="str"/>
      <x:c r="G47" s="38" t="str">
        <x:v>dirt (default, confirm)</x:v>
      </x:c>
      <x:c r="H47" s="38" t="str"/>
      <x:c r="I47" s="38" t="str">
        <x:v>TrackSection</x:v>
      </x:c>
      <x:c r="J47" s="38" t="str">
        <x:v>Sequential base section with the listed distance and grade; dirt defaults remain provisional.</x:v>
      </x:c>
      <x:c r="K47" s="38" t="str">
        <x:v>Is the grade constant through this whole row? What surface is visible? Does the row include a turn or obstacle not written down?</x:v>
      </x:c>
      <x:c r="L47" s="38" t="str">
        <x:v>length; grade; surface; friction coefficient; rolling-resistance coefficient</x:v>
      </x:c>
      <x:c r="M47" s="38" t="str"/>
      <x:c r="N47" s="38" t="str">
        <x:v>Base data present</x:v>
      </x:c>
      <x:c r="O47" s="38" t="str">
        <x:v>Medium</x:v>
      </x:c>
      <x:c r="P47" s="38" t="str">
        <x:v>Base sections carry persistent elevation change; local features overlay them.</x:v>
      </x:c>
    </x:row>
    <x:row r="48" ht="66" customHeight="1">
      <x:c r="A48" s="38" t="n">
        <x:v>47</x:v>
      </x:c>
      <x:c r="B48" s="46" t="n">
        <x:v>5</x:v>
      </x:c>
      <x:c r="C48" s="46" t="n">
        <x:f>D47</x:f>
        <x:v>1065</x:v>
      </x:c>
      <x:c r="D48" s="46" t="n">
        <x:f>C48+B48</x:f>
        <x:v>1070</x:v>
      </x:c>
      <x:c r="E48" s="46"/>
      <x:c r="F48" s="38" t="str">
        <x:v>drop</x:v>
      </x:c>
      <x:c r="G48" s="38" t="str">
        <x:v>dirt (default, confirm)</x:v>
      </x:c>
      <x:c r="H48" s="38" t="str"/>
      <x:c r="I48" s="38" t="str">
        <x:v>ProfileObstacle</x:v>
      </x:c>
      <x:c r="J48" s="38" t="str">
        <x:v>Smooth measured `drop_recovery` elevation profile over the listed distance.</x:v>
      </x:c>
      <x:c r="K48" s="38" t="str">
        <x:v>What is the drop height? What is the obstacle's travel-direction length? Is it one obstacle or several? Does the profile return to the previous elevation, or is there a permanent elevation change? What entry/exit speed and wheel unloading are visible? What is the surface/traction on it?</x:v>
      </x:c>
      <x:c r="L48" s="38" t="str">
        <x:v>start/length; signed vertical amplitude; profile kind; fixed impact loss; speed-dependent impact coefficient; traction multiplier; load-scale limits</x:v>
      </x:c>
      <x:c r="M48" s="38" t="str"/>
      <x:c r="N48" s="38" t="str">
        <x:v>Needs video review</x:v>
      </x:c>
      <x:c r="O48" s="38" t="str">
        <x:v>Medium</x:v>
      </x:c>
      <x:c r="P48" s="38" t="str">
        <x:v>Permanent net elevation changes must be represented in base sections, not only as a local profile overlay.</x:v>
      </x:c>
    </x:row>
    <x:row r="49" ht="66" customHeight="1">
      <x:c r="A49" s="38" t="n">
        <x:v>48</x:v>
      </x:c>
      <x:c r="B49" s="46" t="n">
        <x:v>5</x:v>
      </x:c>
      <x:c r="C49" s="46" t="n">
        <x:f>D48</x:f>
        <x:v>1070</x:v>
      </x:c>
      <x:c r="D49" s="46" t="n">
        <x:f>C49+B49</x:f>
        <x:v>1075</x:v>
      </x:c>
      <x:c r="E49" s="46"/>
      <x:c r="F49" s="38" t="str">
        <x:v>sharp 90 deg turn</x:v>
      </x:c>
      <x:c r="G49" s="38" t="str">
        <x:v>dirt (default, confirm)</x:v>
      </x:c>
      <x:c r="H49" s="38" t="str"/>
      <x:c r="I49" s="38" t="str">
        <x:v>CurvatureSegment</x:v>
      </x:c>
      <x:c r="J49" s="38" t="str">
        <x:v>Constant-curvature 90° turn over the listed distance.</x:v>
      </x:c>
      <x:c r="K49" s="38" t="str">
        <x:v>Left or right? Does the listed distance equal the arc length? What is the approximate path radius or corner width? What surface/grip is present through the corner? Does the turn tighten or open?</x:v>
      </x:c>
      <x:c r="L49" s="38" t="str">
        <x:v>start/length; radius; direction; bank angle</x:v>
      </x:c>
      <x:c r="M49" s="38" t="str"/>
      <x:c r="N49" s="38" t="str">
        <x:v>Needs video review</x:v>
      </x:c>
      <x:c r="O49" s="38" t="str">
        <x:v>Medium</x:v>
      </x:c>
      <x:c r="P49" s="38" t="str">
        <x:v>If radius changes visibly, split the turn into multiple segments rather than forcing one radius.</x:v>
      </x:c>
    </x:row>
    <x:row r="50" ht="66" customHeight="1">
      <x:c r="A50" s="38" t="n">
        <x:v>49</x:v>
      </x:c>
      <x:c r="B50" s="46" t="n">
        <x:v>10</x:v>
      </x:c>
      <x:c r="C50" s="46" t="n">
        <x:f>D49</x:f>
        <x:v>1075</x:v>
      </x:c>
      <x:c r="D50" s="46" t="n">
        <x:f>C50+B50</x:f>
        <x:v>1085</x:v>
      </x:c>
      <x:c r="E50" s="46"/>
      <x:c r="F50" s="38" t="str">
        <x:v>shallow 90 deg turn</x:v>
      </x:c>
      <x:c r="G50" s="38" t="str">
        <x:v>dirt (default, confirm)</x:v>
      </x:c>
      <x:c r="H50" s="38" t="str"/>
      <x:c r="I50" s="38" t="str">
        <x:v>CurvatureSegment</x:v>
      </x:c>
      <x:c r="J50" s="38" t="str">
        <x:v>Constant-curvature 90° turn over the listed distance.</x:v>
      </x:c>
      <x:c r="K50" s="38" t="str">
        <x:v>Left or right? Does the listed distance equal the arc length? What is the approximate path radius or corner width? What surface/grip is present through the corner? Does the turn tighten or open?</x:v>
      </x:c>
      <x:c r="L50" s="38" t="str">
        <x:v>start/length; radius; direction; bank angle</x:v>
      </x:c>
      <x:c r="M50" s="38" t="str"/>
      <x:c r="N50" s="38" t="str">
        <x:v>Needs video review</x:v>
      </x:c>
      <x:c r="O50" s="38" t="str">
        <x:v>Medium</x:v>
      </x:c>
      <x:c r="P50" s="38" t="str">
        <x:v>If radius changes visibly, split the turn into multiple segments rather than forcing one radius.</x:v>
      </x:c>
    </x:row>
    <x:row r="51" ht="66" customHeight="1">
      <x:c r="A51" s="38" t="n">
        <x:v>50</x:v>
      </x:c>
      <x:c r="B51" s="46" t="n">
        <x:v>40</x:v>
      </x:c>
      <x:c r="C51" s="46" t="n">
        <x:f>D50</x:f>
        <x:v>1085</x:v>
      </x:c>
      <x:c r="D51" s="46" t="n">
        <x:f>C51+B51</x:f>
        <x:v>1125</x:v>
      </x:c>
      <x:c r="E51" s="46"/>
      <x:c r="F51" s="38" t="str"/>
      <x:c r="G51" s="38" t="str">
        <x:v>dirt (default, confirm)</x:v>
      </x:c>
      <x:c r="H51" s="38" t="str"/>
      <x:c r="I51" s="38" t="str">
        <x:v>TrackSection</x:v>
      </x:c>
      <x:c r="J51" s="38" t="str">
        <x:v>Sequential base section with the listed distance and grade; dirt defaults remain provisional.</x:v>
      </x:c>
      <x:c r="K51" s="38" t="str">
        <x:v>Is the grade constant through this whole row? What surface is visible? Does the row include a turn or obstacle not written down?</x:v>
      </x:c>
      <x:c r="L51" s="38" t="str">
        <x:v>length; grade; surface; friction coefficient; rolling-resistance coefficient</x:v>
      </x:c>
      <x:c r="M51" s="38" t="str"/>
      <x:c r="N51" s="38" t="str">
        <x:v>Base data present</x:v>
      </x:c>
      <x:c r="O51" s="38" t="str">
        <x:v>Medium</x:v>
      </x:c>
      <x:c r="P51" s="38" t="str">
        <x:v>Base sections carry persistent elevation change; local features overlay them.</x:v>
      </x:c>
    </x:row>
    <x:row r="52" ht="66" customHeight="1">
      <x:c r="A52" s="38" t="n">
        <x:v>51</x:v>
      </x:c>
      <x:c r="B52" s="46" t="n">
        <x:v>5</x:v>
      </x:c>
      <x:c r="C52" s="46" t="n">
        <x:f>D51</x:f>
        <x:v>1125</x:v>
      </x:c>
      <x:c r="D52" s="46" t="n">
        <x:f>C52+B52</x:f>
        <x:v>1130</x:v>
      </x:c>
      <x:c r="E52" s="46" t="n">
        <x:v>30</x:v>
      </x:c>
      <x:c r="F52" s="38" t="str"/>
      <x:c r="G52" s="38" t="str">
        <x:v>dirt (default, confirm)</x:v>
      </x:c>
      <x:c r="H52" s="38" t="str"/>
      <x:c r="I52" s="38" t="str">
        <x:v>TrackSection</x:v>
      </x:c>
      <x:c r="J52" s="38" t="str">
        <x:v>Sequential base section with the listed distance and grade; dirt defaults remain provisional.</x:v>
      </x:c>
      <x:c r="K52" s="38" t="str">
        <x:v>Is the grade constant through this whole row? What surface is visible? Does the row include a turn or obstacle not written down?</x:v>
      </x:c>
      <x:c r="L52" s="38" t="str">
        <x:v>length; grade; surface; friction coefficient; rolling-resistance coefficient</x:v>
      </x:c>
      <x:c r="M52" s="38" t="str"/>
      <x:c r="N52" s="38" t="str">
        <x:v>Base data present</x:v>
      </x:c>
      <x:c r="O52" s="38" t="str">
        <x:v>High</x:v>
      </x:c>
      <x:c r="P52" s="38" t="str">
        <x:v>Base sections carry persistent elevation change; local features overlay them.</x:v>
      </x:c>
    </x:row>
    <x:row r="53" ht="66" customHeight="1">
      <x:c r="A53" s="38" t="n">
        <x:v>52</x:v>
      </x:c>
      <x:c r="B53" s="46" t="n">
        <x:v>10</x:v>
      </x:c>
      <x:c r="C53" s="46" t="n">
        <x:f>D52</x:f>
        <x:v>1130</x:v>
      </x:c>
      <x:c r="D53" s="46" t="n">
        <x:f>C53+B53</x:f>
        <x:v>1140</x:v>
      </x:c>
      <x:c r="E53" s="46" t="n">
        <x:v>-20</x:v>
      </x:c>
      <x:c r="F53" s="38" t="str"/>
      <x:c r="G53" s="38" t="str">
        <x:v>dirt (default, confirm)</x:v>
      </x:c>
      <x:c r="H53" s="38" t="str"/>
      <x:c r="I53" s="38" t="str">
        <x:v>TrackSection</x:v>
      </x:c>
      <x:c r="J53" s="38" t="str">
        <x:v>Sequential base section with the listed distance and grade; dirt defaults remain provisional.</x:v>
      </x:c>
      <x:c r="K53" s="38" t="str">
        <x:v>Is the grade constant through this whole row? What surface is visible? Does the row include a turn or obstacle not written down?</x:v>
      </x:c>
      <x:c r="L53" s="38" t="str">
        <x:v>length; grade; surface; friction coefficient; rolling-resistance coefficient</x:v>
      </x:c>
      <x:c r="M53" s="38" t="str"/>
      <x:c r="N53" s="38" t="str">
        <x:v>Base data present</x:v>
      </x:c>
      <x:c r="O53" s="38" t="str">
        <x:v>High</x:v>
      </x:c>
      <x:c r="P53" s="38" t="str">
        <x:v>Base sections carry persistent elevation change; local features overlay them.</x:v>
      </x:c>
    </x:row>
    <x:row r="54" ht="66" customHeight="1">
      <x:c r="A54" s="38" t="n">
        <x:v>53</x:v>
      </x:c>
      <x:c r="B54" s="46" t="n">
        <x:v>10</x:v>
      </x:c>
      <x:c r="C54" s="46" t="n">
        <x:f>D53</x:f>
        <x:v>1140</x:v>
      </x:c>
      <x:c r="D54" s="46" t="n">
        <x:f>C54+B54</x:f>
        <x:v>1150</x:v>
      </x:c>
      <x:c r="E54" s="46" t="n">
        <x:v>20</x:v>
      </x:c>
      <x:c r="F54" s="38" t="str"/>
      <x:c r="G54" s="38" t="str">
        <x:v>dirt (default, confirm)</x:v>
      </x:c>
      <x:c r="H54" s="38" t="str"/>
      <x:c r="I54" s="38" t="str">
        <x:v>TrackSection</x:v>
      </x:c>
      <x:c r="J54" s="38" t="str">
        <x:v>Sequential base section with the listed distance and grade; dirt defaults remain provisional.</x:v>
      </x:c>
      <x:c r="K54" s="38" t="str">
        <x:v>Is the grade constant through this whole row? What surface is visible? Does the row include a turn or obstacle not written down?</x:v>
      </x:c>
      <x:c r="L54" s="38" t="str">
        <x:v>length; grade; surface; friction coefficient; rolling-resistance coefficient</x:v>
      </x:c>
      <x:c r="M54" s="38" t="str"/>
      <x:c r="N54" s="38" t="str">
        <x:v>Base data present</x:v>
      </x:c>
      <x:c r="O54" s="38" t="str">
        <x:v>High</x:v>
      </x:c>
      <x:c r="P54" s="38" t="str">
        <x:v>Base sections carry persistent elevation change; local features overlay them.</x:v>
      </x:c>
    </x:row>
    <x:row r="55" ht="66" customHeight="1">
      <x:c r="A55" s="38" t="n">
        <x:v>54</x:v>
      </x:c>
      <x:c r="B55" s="46" t="n">
        <x:v>30</x:v>
      </x:c>
      <x:c r="C55" s="46" t="n">
        <x:f>D54</x:f>
        <x:v>1150</x:v>
      </x:c>
      <x:c r="D55" s="46" t="n">
        <x:f>C55+B55</x:f>
        <x:v>1180</x:v>
      </x:c>
      <x:c r="E55" s="46"/>
      <x:c r="F55" s="38" t="str">
        <x:v>ruts</x:v>
      </x:c>
      <x:c r="G55" s="38" t="str">
        <x:v>dirt (default, confirm)</x:v>
      </x:c>
      <x:c r="H55" s="38" t="str"/>
      <x:c r="I55" s="38" t="str">
        <x:v>RoughPatch</x:v>
      </x:c>
      <x:c r="J55" s="38" t="str">
        <x:v>Distributed ruts/rough terrain with periodic load variation, extra resistance, and optional grip changes.</x:v>
      </x:c>
      <x:c r="K55" s="38" t="str">
        <x:v>How deep are the ruts? Approximate spacing/wavelength? Are they parallel or transverse to travel? Wet or dry? Do wheels unload? What entry/exit speed reduction is visible? Does the driver choose a slower line?</x:v>
      </x:c>
      <x:c r="L55" s="38" t="str">
        <x:v>start/length; roughness wavelength; load-variation fraction; energy loss per metre; speed-squared loss coefficient; friction/rolling modifiers</x:v>
      </x:c>
      <x:c r="M55" s="38" t="str"/>
      <x:c r="N55" s="38" t="str">
        <x:v>Needs video review</x:v>
      </x:c>
      <x:c r="O55" s="38" t="str">
        <x:v>Medium</x:v>
      </x:c>
      <x:c r="P55" s="38" t="str">
        <x:v>This is an effective longitudinal model; detailed left/right wheel behavior is outside scope.</x:v>
      </x:c>
    </x:row>
    <x:row r="56" ht="66" customHeight="1">
      <x:c r="A56" s="38" t="n">
        <x:v>55</x:v>
      </x:c>
      <x:c r="B56" s="46" t="n">
        <x:v>10</x:v>
      </x:c>
      <x:c r="C56" s="46" t="n">
        <x:f>D55</x:f>
        <x:v>1180</x:v>
      </x:c>
      <x:c r="D56" s="46" t="n">
        <x:f>C56+B56</x:f>
        <x:v>1190</x:v>
      </x:c>
      <x:c r="E56" s="46"/>
      <x:c r="F56" s="38" t="str"/>
      <x:c r="G56" s="38" t="str">
        <x:v>dirt (default, confirm)</x:v>
      </x:c>
      <x:c r="H56" s="38" t="str"/>
      <x:c r="I56" s="38" t="str">
        <x:v>TrackSection</x:v>
      </x:c>
      <x:c r="J56" s="38" t="str">
        <x:v>Sequential base section with the listed distance and grade; dirt defaults remain provisional.</x:v>
      </x:c>
      <x:c r="K56" s="38" t="str">
        <x:v>Is the grade constant through this whole row? What surface is visible? Does the row include a turn or obstacle not written down?</x:v>
      </x:c>
      <x:c r="L56" s="38" t="str">
        <x:v>length; grade; surface; friction coefficient; rolling-resistance coefficient</x:v>
      </x:c>
      <x:c r="M56" s="38" t="str"/>
      <x:c r="N56" s="38" t="str">
        <x:v>Base data present</x:v>
      </x:c>
      <x:c r="O56" s="38" t="str">
        <x:v>Medium</x:v>
      </x:c>
      <x:c r="P56" s="38" t="str">
        <x:v>Base sections carry persistent elevation change; local features overlay them.</x:v>
      </x:c>
    </x:row>
    <x:row r="57" ht="66" customHeight="1">
      <x:c r="A57" s="38" t="n">
        <x:v>56</x:v>
      </x:c>
      <x:c r="B57" s="46" t="n">
        <x:v>30</x:v>
      </x:c>
      <x:c r="C57" s="46" t="n">
        <x:f>D56</x:f>
        <x:v>1190</x:v>
      </x:c>
      <x:c r="D57" s="46" t="n">
        <x:f>C57+B57</x:f>
        <x:v>1220</x:v>
      </x:c>
      <x:c r="E57" s="46"/>
      <x:c r="F57" s="38" t="str">
        <x:v>ruts</x:v>
      </x:c>
      <x:c r="G57" s="38" t="str">
        <x:v>dirt (default, confirm)</x:v>
      </x:c>
      <x:c r="H57" s="38" t="str"/>
      <x:c r="I57" s="38" t="str">
        <x:v>RoughPatch</x:v>
      </x:c>
      <x:c r="J57" s="38" t="str">
        <x:v>Distributed ruts/rough terrain with periodic load variation, extra resistance, and optional grip changes.</x:v>
      </x:c>
      <x:c r="K57" s="38" t="str">
        <x:v>How deep are the ruts? Approximate spacing/wavelength? Are they parallel or transverse to travel? Wet or dry? Do wheels unload? What entry/exit speed reduction is visible? Does the driver choose a slower line?</x:v>
      </x:c>
      <x:c r="L57" s="38" t="str">
        <x:v>start/length; roughness wavelength; load-variation fraction; energy loss per metre; speed-squared loss coefficient; friction/rolling modifiers</x:v>
      </x:c>
      <x:c r="M57" s="38" t="str"/>
      <x:c r="N57" s="38" t="str">
        <x:v>Needs video review</x:v>
      </x:c>
      <x:c r="O57" s="38" t="str">
        <x:v>Medium</x:v>
      </x:c>
      <x:c r="P57" s="38" t="str">
        <x:v>This is an effective longitudinal model; detailed left/right wheel behavior is outside scope.</x:v>
      </x:c>
    </x:row>
    <x:row r="58" ht="66" customHeight="1">
      <x:c r="A58" s="38" t="n">
        <x:v>57</x:v>
      </x:c>
      <x:c r="B58" s="46" t="n">
        <x:v>30</x:v>
      </x:c>
      <x:c r="C58" s="46" t="n">
        <x:f>D57</x:f>
        <x:v>1220</x:v>
      </x:c>
      <x:c r="D58" s="46" t="n">
        <x:f>C58+B58</x:f>
        <x:v>1250</x:v>
      </x:c>
      <x:c r="E58" s="46"/>
      <x:c r="F58" s="38" t="str"/>
      <x:c r="G58" s="38" t="str">
        <x:v>dirt (default, confirm)</x:v>
      </x:c>
      <x:c r="H58" s="38" t="str"/>
      <x:c r="I58" s="38" t="str">
        <x:v>TrackSection</x:v>
      </x:c>
      <x:c r="J58" s="38" t="str">
        <x:v>Sequential base section with the listed distance and grade; dirt defaults remain provisional.</x:v>
      </x:c>
      <x:c r="K58" s="38" t="str">
        <x:v>Is the grade constant through this whole row? What surface is visible? Does the row include a turn or obstacle not written down?</x:v>
      </x:c>
      <x:c r="L58" s="38" t="str">
        <x:v>length; grade; surface; friction coefficient; rolling-resistance coefficient</x:v>
      </x:c>
      <x:c r="M58" s="38" t="str"/>
      <x:c r="N58" s="38" t="str">
        <x:v>Base data present</x:v>
      </x:c>
      <x:c r="O58" s="38" t="str">
        <x:v>Medium</x:v>
      </x:c>
      <x:c r="P58" s="38" t="str">
        <x:v>Base sections carry persistent elevation change; local features overlay them.</x:v>
      </x:c>
    </x:row>
    <x:row r="59" ht="66" customHeight="1">
      <x:c r="A59" s="38" t="n">
        <x:v>58</x:v>
      </x:c>
      <x:c r="B59" s="46" t="n">
        <x:v>50</x:v>
      </x:c>
      <x:c r="C59" s="46" t="n">
        <x:f>D58</x:f>
        <x:v>1250</x:v>
      </x:c>
      <x:c r="D59" s="46" t="n">
        <x:f>C59+B59</x:f>
        <x:v>1300</x:v>
      </x:c>
      <x:c r="E59" s="46"/>
      <x:c r="F59" s="38" t="str">
        <x:v>bumps</x:v>
      </x:c>
      <x:c r="G59" s="38" t="str">
        <x:v>dirt (default, confirm)</x:v>
      </x:c>
      <x:c r="H59" s="38" t="str"/>
      <x:c r="I59" s="38" t="str">
        <x:v>WhoopTrain or RoughPatch</x:v>
      </x:c>
      <x:c r="J59" s="38" t="str">
        <x:v>Repeated bumps: use WhoopTrain when individual crest spacing/height is visible; otherwise use RoughPatch.</x:v>
      </x:c>
      <x:c r="K59" s="38" t="str">
        <x:v>How many bumps? Average height? Crest spacing? Are they regular? Does the car unload or simply vibrate? Approximate speed loss? Surface grip?</x:v>
      </x:c>
      <x:c r="L59" s="38" t="str">
        <x:v>count; wavelength; height; energy loss per bump; load-scale limits; traction multiplier</x:v>
      </x:c>
      <x:c r="M59" s="38" t="str"/>
      <x:c r="N59" s="38" t="str">
        <x:v>Needs video review</x:v>
      </x:c>
      <x:c r="O59" s="38" t="str">
        <x:v>Medium</x:v>
      </x:c>
      <x:c r="P59" s="38" t="str">
        <x:v>Choose RoughPatch if the profile is irregular and cannot be measured obstacle-by-obstacle.</x:v>
      </x:c>
    </x:row>
    <x:row r="60" ht="66" customHeight="1">
      <x:c r="A60" s="38" t="n">
        <x:v>59</x:v>
      </x:c>
      <x:c r="B60" s="46" t="n">
        <x:v>20</x:v>
      </x:c>
      <x:c r="C60" s="46" t="n">
        <x:f>D59</x:f>
        <x:v>1300</x:v>
      </x:c>
      <x:c r="D60" s="46" t="n">
        <x:f>C60+B60</x:f>
        <x:v>1320</x:v>
      </x:c>
      <x:c r="E60" s="46"/>
      <x:c r="F60" s="38" t="str"/>
      <x:c r="G60" s="38" t="str">
        <x:v>dirt (default, confirm)</x:v>
      </x:c>
      <x:c r="H60" s="38" t="str"/>
      <x:c r="I60" s="38" t="str">
        <x:v>TrackSection</x:v>
      </x:c>
      <x:c r="J60" s="38" t="str">
        <x:v>Sequential base section with the listed distance and grade; dirt defaults remain provisional.</x:v>
      </x:c>
      <x:c r="K60" s="38" t="str">
        <x:v>Is the grade constant through this whole row? What surface is visible? Does the row include a turn or obstacle not written down?</x:v>
      </x:c>
      <x:c r="L60" s="38" t="str">
        <x:v>length; grade; surface; friction coefficient; rolling-resistance coefficient</x:v>
      </x:c>
      <x:c r="M60" s="38" t="str"/>
      <x:c r="N60" s="38" t="str">
        <x:v>Base data present</x:v>
      </x:c>
      <x:c r="O60" s="38" t="str">
        <x:v>Medium</x:v>
      </x:c>
      <x:c r="P60" s="38" t="str">
        <x:v>Base sections carry persistent elevation change; local features overlay them.</x:v>
      </x:c>
    </x:row>
    <x:row r="61" ht="66" customHeight="1">
      <x:c r="A61" s="38" t="n">
        <x:v>60</x:v>
      </x:c>
      <x:c r="B61" s="46" t="n">
        <x:v>10</x:v>
      </x:c>
      <x:c r="C61" s="46" t="n">
        <x:f>D60</x:f>
        <x:v>1320</x:v>
      </x:c>
      <x:c r="D61" s="46" t="n">
        <x:f>C61+B61</x:f>
        <x:v>1330</x:v>
      </x:c>
      <x:c r="E61" s="46"/>
      <x:c r="F61" s="38" t="str">
        <x:v>pipe</x:v>
      </x:c>
      <x:c r="G61" s="38" t="str">
        <x:v>dirt (default, confirm)</x:v>
      </x:c>
      <x:c r="H61" s="38" t="str"/>
      <x:c r="I61" s="38" t="str">
        <x:v>ProfileObstacle</x:v>
      </x:c>
      <x:c r="J61" s="38" t="str">
        <x:v>Smooth measured `pipe` elevation profile over the listed distance.</x:v>
      </x:c>
      <x:c r="K61" s="38" t="str">
        <x:v>What is the pipe diameter / exposed height? What is the obstacle's travel-direction length? Is it one obstacle or several? Does the profile return to the previous elevation, or is there a permanent elevation change? What entry/exit speed and wheel unloading are visible? What is the surface/traction on it?</x:v>
      </x:c>
      <x:c r="L61" s="38" t="str">
        <x:v>start/length; signed vertical amplitude; profile kind; fixed impact loss; speed-dependent impact coefficient; traction multiplier; load-scale limits</x:v>
      </x:c>
      <x:c r="M61" s="38" t="str"/>
      <x:c r="N61" s="38" t="str">
        <x:v>Needs video review</x:v>
      </x:c>
      <x:c r="O61" s="38" t="str">
        <x:v>Medium</x:v>
      </x:c>
      <x:c r="P61" s="38" t="str">
        <x:v>Permanent net elevation changes must be represented in base sections, not only as a local profile overlay.</x:v>
      </x:c>
    </x:row>
    <x:row r="62" ht="66" customHeight="1">
      <x:c r="A62" s="38" t="n">
        <x:v>61</x:v>
      </x:c>
      <x:c r="B62" s="46" t="n">
        <x:v>20</x:v>
      </x:c>
      <x:c r="C62" s="46" t="n">
        <x:f>D61</x:f>
        <x:v>1330</x:v>
      </x:c>
      <x:c r="D62" s="46" t="n">
        <x:f>C62+B62</x:f>
        <x:v>1350</x:v>
      </x:c>
      <x:c r="E62" s="46"/>
      <x:c r="F62" s="38" t="str"/>
      <x:c r="G62" s="38" t="str">
        <x:v>dirt (default, confirm)</x:v>
      </x:c>
      <x:c r="H62" s="38" t="str"/>
      <x:c r="I62" s="38" t="str">
        <x:v>TrackSection</x:v>
      </x:c>
      <x:c r="J62" s="38" t="str">
        <x:v>Sequential base section with the listed distance and grade; dirt defaults remain provisional.</x:v>
      </x:c>
      <x:c r="K62" s="38" t="str">
        <x:v>Is the grade constant through this whole row? What surface is visible? Does the row include a turn or obstacle not written down?</x:v>
      </x:c>
      <x:c r="L62" s="38" t="str">
        <x:v>length; grade; surface; friction coefficient; rolling-resistance coefficient</x:v>
      </x:c>
      <x:c r="M62" s="38" t="str"/>
      <x:c r="N62" s="38" t="str">
        <x:v>Base data present</x:v>
      </x:c>
      <x:c r="O62" s="38" t="str">
        <x:v>Medium</x:v>
      </x:c>
      <x:c r="P62" s="38" t="str">
        <x:v>Base sections carry persistent elevation change; local features overlay them.</x:v>
      </x:c>
    </x:row>
    <x:row r="63" ht="66" customHeight="1">
      <x:c r="A63" s="38" t="n">
        <x:v>62</x:v>
      </x:c>
      <x:c r="B63" s="46" t="n">
        <x:v>5</x:v>
      </x:c>
      <x:c r="C63" s="46" t="n">
        <x:f>D62</x:f>
        <x:v>1350</x:v>
      </x:c>
      <x:c r="D63" s="46" t="n">
        <x:f>C63+B63</x:f>
        <x:v>1355</x:v>
      </x:c>
      <x:c r="E63" s="46"/>
      <x:c r="F63" s="38" t="str">
        <x:v>tires</x:v>
      </x:c>
      <x:c r="G63" s="38" t="str">
        <x:v>dirt (default, confirm)</x:v>
      </x:c>
      <x:c r="H63" s="38" t="str"/>
      <x:c r="I63" s="38" t="str">
        <x:v>ProfileObstacle</x:v>
      </x:c>
      <x:c r="J63" s="38" t="str">
        <x:v>Smooth measured `tire` elevation profile over the listed distance.</x:v>
      </x:c>
      <x:c r="K63" s="38" t="str">
        <x:v>What is the tire stack / exposed height? What is the obstacle's travel-direction length? Is it one obstacle or several? Does the profile return to the previous elevation, or is there a permanent elevation change? What entry/exit speed and wheel unloading are visible? What is the surface/traction on it?</x:v>
      </x:c>
      <x:c r="L63" s="38" t="str">
        <x:v>start/length; signed vertical amplitude; profile kind; fixed impact loss; speed-dependent impact coefficient; traction multiplier; load-scale limits</x:v>
      </x:c>
      <x:c r="M63" s="38" t="str"/>
      <x:c r="N63" s="38" t="str">
        <x:v>Needs video review</x:v>
      </x:c>
      <x:c r="O63" s="38" t="str">
        <x:v>Medium</x:v>
      </x:c>
      <x:c r="P63" s="38" t="str">
        <x:v>Permanent net elevation changes must be represented in base sections, not only as a local profile overlay.</x:v>
      </x:c>
    </x:row>
    <x:row r="64" ht="66" customHeight="1">
      <x:c r="A64" s="38" t="n">
        <x:v>63</x:v>
      </x:c>
      <x:c r="B64" s="46" t="n">
        <x:v>5</x:v>
      </x:c>
      <x:c r="C64" s="46" t="n">
        <x:f>D63</x:f>
        <x:v>1355</x:v>
      </x:c>
      <x:c r="D64" s="46" t="n">
        <x:f>C64+B64</x:f>
        <x:v>1360</x:v>
      </x:c>
      <x:c r="E64" s="46"/>
      <x:c r="F64" s="38" t="str">
        <x:v>sharp 90 deg turn</x:v>
      </x:c>
      <x:c r="G64" s="38" t="str">
        <x:v>dirt (default, confirm)</x:v>
      </x:c>
      <x:c r="H64" s="38" t="str"/>
      <x:c r="I64" s="38" t="str">
        <x:v>CurvatureSegment</x:v>
      </x:c>
      <x:c r="J64" s="38" t="str">
        <x:v>Constant-curvature 90° turn over the listed distance.</x:v>
      </x:c>
      <x:c r="K64" s="38" t="str">
        <x:v>Left or right? Does the listed distance equal the arc length? What is the approximate path radius or corner width? What surface/grip is present through the corner? Does the turn tighten or open?</x:v>
      </x:c>
      <x:c r="L64" s="38" t="str">
        <x:v>start/length; radius; direction; bank angle</x:v>
      </x:c>
      <x:c r="M64" s="38" t="str"/>
      <x:c r="N64" s="38" t="str">
        <x:v>Needs video review</x:v>
      </x:c>
      <x:c r="O64" s="38" t="str">
        <x:v>Medium</x:v>
      </x:c>
      <x:c r="P64" s="38" t="str">
        <x:v>If radius changes visibly, split the turn into multiple segments rather than forcing one radius.</x:v>
      </x:c>
    </x:row>
    <x:row r="65" ht="66" customHeight="1">
      <x:c r="A65" s="38" t="n">
        <x:v>64</x:v>
      </x:c>
      <x:c r="B65" s="46" t="n">
        <x:v>10</x:v>
      </x:c>
      <x:c r="C65" s="46" t="n">
        <x:f>D64</x:f>
        <x:v>1360</x:v>
      </x:c>
      <x:c r="D65" s="46" t="n">
        <x:f>C65+B65</x:f>
        <x:v>1370</x:v>
      </x:c>
      <x:c r="E65" s="46"/>
      <x:c r="F65" s="38" t="str">
        <x:v>logs</x:v>
      </x:c>
      <x:c r="G65" s="38" t="str">
        <x:v>dirt (default, confirm)</x:v>
      </x:c>
      <x:c r="H65" s="38" t="str"/>
      <x:c r="I65" s="38" t="str">
        <x:v>LogCrossing</x:v>
      </x:c>
      <x:c r="J65" s="38" t="str">
        <x:v>One or more localized energy-based log crossings.</x:v>
      </x:c>
      <x:c r="K65" s="38" t="str">
        <x:v>How many logs? Diameter/height of each? Spacing? Crossing angle? Approximate length over which the wheels climb them? Do the tires slip on the logs? Entry and exit speed?</x:v>
      </x:c>
      <x:c r="L65" s="38" t="str">
        <x:v>position(s); crossing length; height; effective lift fraction; impact-loss coefficient; traction multiplier</x:v>
      </x:c>
      <x:c r="M65" s="38" t="str"/>
      <x:c r="N65" s="38" t="str">
        <x:v>Needs video review</x:v>
      </x:c>
      <x:c r="O65" s="38" t="str">
        <x:v>Medium</x:v>
      </x:c>
      <x:c r="P65" s="38" t="str">
        <x:v>Use one LogCrossing per physically separate log unless they are too close to distinguish.</x:v>
      </x:c>
    </x:row>
    <x:row r="66" ht="66" customHeight="1">
      <x:c r="A66" s="38" t="n">
        <x:v>65</x:v>
      </x:c>
      <x:c r="B66" s="46" t="n">
        <x:v>5</x:v>
      </x:c>
      <x:c r="C66" s="46" t="n">
        <x:f>D65</x:f>
        <x:v>1370</x:v>
      </x:c>
      <x:c r="D66" s="46" t="n">
        <x:f>C66+B66</x:f>
        <x:v>1375</x:v>
      </x:c>
      <x:c r="E66" s="46"/>
      <x:c r="F66" s="38" t="str">
        <x:v>sharp 90 deg turn</x:v>
      </x:c>
      <x:c r="G66" s="38" t="str">
        <x:v>dirt (default, confirm)</x:v>
      </x:c>
      <x:c r="H66" s="38" t="str"/>
      <x:c r="I66" s="38" t="str">
        <x:v>CurvatureSegment</x:v>
      </x:c>
      <x:c r="J66" s="38" t="str">
        <x:v>Constant-curvature 90° turn over the listed distance.</x:v>
      </x:c>
      <x:c r="K66" s="38" t="str">
        <x:v>Left or right? Does the listed distance equal the arc length? What is the approximate path radius or corner width? What surface/grip is present through the corner? Does the turn tighten or open?</x:v>
      </x:c>
      <x:c r="L66" s="38" t="str">
        <x:v>start/length; radius; direction; bank angle</x:v>
      </x:c>
      <x:c r="M66" s="38" t="str"/>
      <x:c r="N66" s="38" t="str">
        <x:v>Needs video review</x:v>
      </x:c>
      <x:c r="O66" s="38" t="str">
        <x:v>Medium</x:v>
      </x:c>
      <x:c r="P66" s="38" t="str">
        <x:v>If radius changes visibly, split the turn into multiple segments rather than forcing one radius.</x:v>
      </x:c>
    </x:row>
    <x:row r="67" ht="66" customHeight="1">
      <x:c r="A67" s="38" t="n">
        <x:v>66</x:v>
      </x:c>
      <x:c r="B67" s="46" t="n">
        <x:v>20</x:v>
      </x:c>
      <x:c r="C67" s="46" t="n">
        <x:f>D66</x:f>
        <x:v>1375</x:v>
      </x:c>
      <x:c r="D67" s="46" t="n">
        <x:f>C67+B67</x:f>
        <x:v>1395</x:v>
      </x:c>
      <x:c r="E67" s="46"/>
      <x:c r="F67" s="38" t="str">
        <x:v>ruts?</x:v>
      </x:c>
      <x:c r="G67" s="38" t="str">
        <x:v>dirt (default, confirm)</x:v>
      </x:c>
      <x:c r="H67" s="38" t="str">
        <x:v>can't exactly tell what this is</x:v>
      </x:c>
      <x:c r="I67" s="38" t="str">
        <x:v>RoughPatch</x:v>
      </x:c>
      <x:c r="J67" s="38" t="str">
        <x:v>Distributed ruts/rough terrain with periodic load variation, extra resistance, and optional grip changes.</x:v>
      </x:c>
      <x:c r="K67" s="38" t="str">
        <x:v>How deep are the ruts? Approximate spacing/wavelength? Are they parallel or transverse to travel? Wet or dry? Do wheels unload? What entry/exit speed reduction is visible? Does the driver choose a slower line?</x:v>
      </x:c>
      <x:c r="L67" s="38" t="str">
        <x:v>start/length; roughness wavelength; load-variation fraction; energy loss per metre; speed-squared loss coefficient; friction/rolling modifiers</x:v>
      </x:c>
      <x:c r="M67" s="38" t="str"/>
      <x:c r="N67" s="38" t="str">
        <x:v>Needs video review</x:v>
      </x:c>
      <x:c r="O67" s="38" t="str">
        <x:v>Low</x:v>
      </x:c>
      <x:c r="P67" s="38" t="str">
        <x:v>This is an effective longitudinal model; detailed left/right wheel behavior is outside scope.</x:v>
      </x:c>
    </x:row>
    <x:row r="68" ht="66" customHeight="1">
      <x:c r="A68" s="38" t="n">
        <x:v>67</x:v>
      </x:c>
      <x:c r="B68" s="46" t="n">
        <x:v>10</x:v>
      </x:c>
      <x:c r="C68" s="46" t="n">
        <x:f>D67</x:f>
        <x:v>1395</x:v>
      </x:c>
      <x:c r="D68" s="46" t="n">
        <x:f>C68+B68</x:f>
        <x:v>1405</x:v>
      </x:c>
      <x:c r="E68" s="46"/>
      <x:c r="F68" s="38" t="str">
        <x:v>shallow 90 deg turn</x:v>
      </x:c>
      <x:c r="G68" s="38" t="str">
        <x:v>dirt (default, confirm)</x:v>
      </x:c>
      <x:c r="H68" s="38" t="str"/>
      <x:c r="I68" s="38" t="str">
        <x:v>CurvatureSegment</x:v>
      </x:c>
      <x:c r="J68" s="38" t="str">
        <x:v>Constant-curvature 90° turn over the listed distance.</x:v>
      </x:c>
      <x:c r="K68" s="38" t="str">
        <x:v>Left or right? Does the listed distance equal the arc length? What is the approximate path radius or corner width? What surface/grip is present through the corner? Does the turn tighten or open?</x:v>
      </x:c>
      <x:c r="L68" s="38" t="str">
        <x:v>start/length; radius; direction; bank angle</x:v>
      </x:c>
      <x:c r="M68" s="38" t="str"/>
      <x:c r="N68" s="38" t="str">
        <x:v>Needs video review</x:v>
      </x:c>
      <x:c r="O68" s="38" t="str">
        <x:v>Medium</x:v>
      </x:c>
      <x:c r="P68" s="38" t="str">
        <x:v>If radius changes visibly, split the turn into multiple segments rather than forcing one radius.</x:v>
      </x:c>
    </x:row>
    <x:row r="69" ht="66" customHeight="1">
      <x:c r="A69" s="38" t="n">
        <x:v>68</x:v>
      </x:c>
      <x:c r="B69" s="46" t="n">
        <x:v>5</x:v>
      </x:c>
      <x:c r="C69" s="46" t="n">
        <x:f>D68</x:f>
        <x:v>1405</x:v>
      </x:c>
      <x:c r="D69" s="46" t="n">
        <x:f>C69+B69</x:f>
        <x:v>1410</x:v>
      </x:c>
      <x:c r="E69" s="46"/>
      <x:c r="F69" s="38" t="str">
        <x:v>pipe</x:v>
      </x:c>
      <x:c r="G69" s="38" t="str">
        <x:v>dirt (default, confirm)</x:v>
      </x:c>
      <x:c r="H69" s="38" t="str"/>
      <x:c r="I69" s="38" t="str">
        <x:v>ProfileObstacle</x:v>
      </x:c>
      <x:c r="J69" s="38" t="str">
        <x:v>Smooth measured `pipe` elevation profile over the listed distance.</x:v>
      </x:c>
      <x:c r="K69" s="38" t="str">
        <x:v>What is the pipe diameter / exposed height? What is the obstacle's travel-direction length? Is it one obstacle or several? Does the profile return to the previous elevation, or is there a permanent elevation change? What entry/exit speed and wheel unloading are visible? What is the surface/traction on it?</x:v>
      </x:c>
      <x:c r="L69" s="38" t="str">
        <x:v>start/length; signed vertical amplitude; profile kind; fixed impact loss; speed-dependent impact coefficient; traction multiplier; load-scale limits</x:v>
      </x:c>
      <x:c r="M69" s="38" t="str"/>
      <x:c r="N69" s="38" t="str">
        <x:v>Needs video review</x:v>
      </x:c>
      <x:c r="O69" s="38" t="str">
        <x:v>Medium</x:v>
      </x:c>
      <x:c r="P69" s="38" t="str">
        <x:v>Permanent net elevation changes must be represented in base sections, not only as a local profile overlay.</x:v>
      </x:c>
    </x:row>
    <x:row r="70" ht="66" customHeight="1">
      <x:c r="A70" s="38" t="n">
        <x:v>69</x:v>
      </x:c>
      <x:c r="B70" s="46" t="n">
        <x:v>70</x:v>
      </x:c>
      <x:c r="C70" s="46" t="n">
        <x:f>D69</x:f>
        <x:v>1410</x:v>
      </x:c>
      <x:c r="D70" s="46" t="n">
        <x:f>C70+B70</x:f>
        <x:v>1480</x:v>
      </x:c>
      <x:c r="E70" s="46"/>
      <x:c r="F70" s="38" t="str"/>
      <x:c r="G70" s="38" t="str">
        <x:v>dirt (default, confirm)</x:v>
      </x:c>
      <x:c r="H70" s="38" t="str"/>
      <x:c r="I70" s="38" t="str">
        <x:v>TrackSection</x:v>
      </x:c>
      <x:c r="J70" s="38" t="str">
        <x:v>Sequential base section with the listed distance and grade; dirt defaults remain provisional.</x:v>
      </x:c>
      <x:c r="K70" s="38" t="str">
        <x:v>Is the grade constant through this whole row? What surface is visible? Does the row include a turn or obstacle not written down?</x:v>
      </x:c>
      <x:c r="L70" s="38" t="str">
        <x:v>length; grade; surface; friction coefficient; rolling-resistance coefficient</x:v>
      </x:c>
      <x:c r="M70" s="38" t="str"/>
      <x:c r="N70" s="38" t="str">
        <x:v>Base data present</x:v>
      </x:c>
      <x:c r="O70" s="38" t="str">
        <x:v>Medium</x:v>
      </x:c>
      <x:c r="P70" s="38" t="str">
        <x:v>Base sections carry persistent elevation change; local features overlay them.</x:v>
      </x:c>
    </x:row>
    <x:row r="71" ht="66" customHeight="1">
      <x:c r="A71" s="38" t="n">
        <x:v>70</x:v>
      </x:c>
      <x:c r="B71" s="46" t="n">
        <x:v>5</x:v>
      </x:c>
      <x:c r="C71" s="46" t="n">
        <x:f>D70</x:f>
        <x:v>1480</x:v>
      </x:c>
      <x:c r="D71" s="46" t="n">
        <x:f>C71+B71</x:f>
        <x:v>1485</x:v>
      </x:c>
      <x:c r="E71" s="46"/>
      <x:c r="F71" s="38" t="str">
        <x:v>hole</x:v>
      </x:c>
      <x:c r="G71" s="38" t="str">
        <x:v>dirt (default, confirm)</x:v>
      </x:c>
      <x:c r="H71" s="38" t="str"/>
      <x:c r="I71" s="38" t="str">
        <x:v>ProfileObstacle</x:v>
      </x:c>
      <x:c r="J71" s="38" t="str">
        <x:v>Smooth measured `hole` elevation profile over the listed distance.</x:v>
      </x:c>
      <x:c r="K71" s="38" t="str">
        <x:v>What is the depth? What is the obstacle's travel-direction length? Is it one obstacle or several? Does the profile return to the previous elevation, or is there a permanent elevation change? What entry/exit speed and wheel unloading are visible? What is the surface/traction on it?</x:v>
      </x:c>
      <x:c r="L71" s="38" t="str">
        <x:v>start/length; signed vertical amplitude; profile kind; fixed impact loss; speed-dependent impact coefficient; traction multiplier; load-scale limits</x:v>
      </x:c>
      <x:c r="M71" s="38" t="str"/>
      <x:c r="N71" s="38" t="str">
        <x:v>Needs video review</x:v>
      </x:c>
      <x:c r="O71" s="38" t="str">
        <x:v>Medium</x:v>
      </x:c>
      <x:c r="P71" s="38" t="str">
        <x:v>Permanent net elevation changes must be represented in base sections, not only as a local profile overlay.</x:v>
      </x:c>
    </x:row>
    <x:row r="72" ht="66" customHeight="1">
      <x:c r="A72" s="38" t="n">
        <x:v>71</x:v>
      </x:c>
      <x:c r="B72" s="46" t="n">
        <x:v>40</x:v>
      </x:c>
      <x:c r="C72" s="46" t="n">
        <x:f>D71</x:f>
        <x:v>1485</x:v>
      </x:c>
      <x:c r="D72" s="46" t="n">
        <x:f>C72+B72</x:f>
        <x:v>1525</x:v>
      </x:c>
      <x:c r="E72" s="46"/>
      <x:c r="F72" s="38" t="str"/>
      <x:c r="G72" s="38" t="str">
        <x:v>dirt (default, confirm)</x:v>
      </x:c>
      <x:c r="H72" s="38" t="str"/>
      <x:c r="I72" s="38" t="str">
        <x:v>TrackSection</x:v>
      </x:c>
      <x:c r="J72" s="38" t="str">
        <x:v>Sequential base section with the listed distance and grade; dirt defaults remain provisional.</x:v>
      </x:c>
      <x:c r="K72" s="38" t="str">
        <x:v>Is the grade constant through this whole row? What surface is visible? Does the row include a turn or obstacle not written down?</x:v>
      </x:c>
      <x:c r="L72" s="38" t="str">
        <x:v>length; grade; surface; friction coefficient; rolling-resistance coefficient</x:v>
      </x:c>
      <x:c r="M72" s="38" t="str"/>
      <x:c r="N72" s="38" t="str">
        <x:v>Base data present</x:v>
      </x:c>
      <x:c r="O72" s="38" t="str">
        <x:v>Medium</x:v>
      </x:c>
      <x:c r="P72" s="38" t="str">
        <x:v>Base sections carry persistent elevation change; local features overlay them.</x:v>
      </x:c>
    </x:row>
    <x:row r="73" ht="66" customHeight="1">
      <x:c r="A73" s="38" t="n">
        <x:v>72</x:v>
      </x:c>
      <x:c r="B73" s="46" t="n">
        <x:v>5</x:v>
      </x:c>
      <x:c r="C73" s="46" t="n">
        <x:f>D72</x:f>
        <x:v>1525</x:v>
      </x:c>
      <x:c r="D73" s="46" t="n">
        <x:f>C73+B73</x:f>
        <x:v>1530</x:v>
      </x:c>
      <x:c r="E73" s="46" t="n">
        <x:v>-20</x:v>
      </x:c>
      <x:c r="F73" s="38" t="str"/>
      <x:c r="G73" s="38" t="str">
        <x:v>dirt (default, confirm)</x:v>
      </x:c>
      <x:c r="H73" s="38" t="str"/>
      <x:c r="I73" s="38" t="str">
        <x:v>TrackSection</x:v>
      </x:c>
      <x:c r="J73" s="38" t="str">
        <x:v>Sequential base section with the listed distance and grade; dirt defaults remain provisional.</x:v>
      </x:c>
      <x:c r="K73" s="38" t="str">
        <x:v>Is the grade constant through this whole row? What surface is visible? Does the row include a turn or obstacle not written down?</x:v>
      </x:c>
      <x:c r="L73" s="38" t="str">
        <x:v>length; grade; surface; friction coefficient; rolling-resistance coefficient</x:v>
      </x:c>
      <x:c r="M73" s="38" t="str"/>
      <x:c r="N73" s="38" t="str">
        <x:v>Base data present</x:v>
      </x:c>
      <x:c r="O73" s="38" t="str">
        <x:v>High</x:v>
      </x:c>
      <x:c r="P73" s="38" t="str">
        <x:v>Base sections carry persistent elevation change; local features overlay them.</x:v>
      </x:c>
    </x:row>
    <x:row r="74" ht="66" customHeight="1">
      <x:c r="A74" s="38" t="n">
        <x:v>73</x:v>
      </x:c>
      <x:c r="B74" s="46" t="n">
        <x:v>5</x:v>
      </x:c>
      <x:c r="C74" s="46" t="n">
        <x:f>D73</x:f>
        <x:v>1530</x:v>
      </x:c>
      <x:c r="D74" s="46" t="n">
        <x:f>C74+B74</x:f>
        <x:v>1535</x:v>
      </x:c>
      <x:c r="E74" s="46"/>
      <x:c r="F74" s="38" t="str"/>
      <x:c r="G74" s="38" t="str">
        <x:v>dirt (default, confirm)</x:v>
      </x:c>
      <x:c r="H74" s="38" t="str"/>
      <x:c r="I74" s="38" t="str">
        <x:v>TrackSection</x:v>
      </x:c>
      <x:c r="J74" s="38" t="str">
        <x:v>Sequential base section with the listed distance and grade; dirt defaults remain provisional.</x:v>
      </x:c>
      <x:c r="K74" s="38" t="str">
        <x:v>Is the grade constant through this whole row? What surface is visible? Does the row include a turn or obstacle not written down?</x:v>
      </x:c>
      <x:c r="L74" s="38" t="str">
        <x:v>length; grade; surface; friction coefficient; rolling-resistance coefficient</x:v>
      </x:c>
      <x:c r="M74" s="38" t="str"/>
      <x:c r="N74" s="38" t="str">
        <x:v>Base data present</x:v>
      </x:c>
      <x:c r="O74" s="38" t="str">
        <x:v>Medium</x:v>
      </x:c>
      <x:c r="P74" s="38" t="str">
        <x:v>Base sections carry persistent elevation change; local features overlay them.</x:v>
      </x:c>
    </x:row>
    <x:row r="75" ht="66" customHeight="1">
      <x:c r="A75" s="38" t="n">
        <x:v>74</x:v>
      </x:c>
      <x:c r="B75" s="46" t="n">
        <x:v>5</x:v>
      </x:c>
      <x:c r="C75" s="46" t="n">
        <x:f>D74</x:f>
        <x:v>1535</x:v>
      </x:c>
      <x:c r="D75" s="46" t="n">
        <x:f>C75+B75</x:f>
        <x:v>1540</x:v>
      </x:c>
      <x:c r="E75" s="46" t="n">
        <x:v>20</x:v>
      </x:c>
      <x:c r="F75" s="38" t="str"/>
      <x:c r="G75" s="38" t="str">
        <x:v>dirt (default, confirm)</x:v>
      </x:c>
      <x:c r="H75" s="38" t="str"/>
      <x:c r="I75" s="38" t="str">
        <x:v>TrackSection</x:v>
      </x:c>
      <x:c r="J75" s="38" t="str">
        <x:v>Sequential base section with the listed distance and grade; dirt defaults remain provisional.</x:v>
      </x:c>
      <x:c r="K75" s="38" t="str">
        <x:v>Is the grade constant through this whole row? What surface is visible? Does the row include a turn or obstacle not written down?</x:v>
      </x:c>
      <x:c r="L75" s="38" t="str">
        <x:v>length; grade; surface; friction coefficient; rolling-resistance coefficient</x:v>
      </x:c>
      <x:c r="M75" s="38" t="str"/>
      <x:c r="N75" s="38" t="str">
        <x:v>Base data present</x:v>
      </x:c>
      <x:c r="O75" s="38" t="str">
        <x:v>High</x:v>
      </x:c>
      <x:c r="P75" s="38" t="str">
        <x:v>Base sections carry persistent elevation change; local features overlay them.</x:v>
      </x:c>
    </x:row>
    <x:row r="76" ht="66" customHeight="1">
      <x:c r="A76" s="38" t="n">
        <x:v>75</x:v>
      </x:c>
      <x:c r="B76" s="46" t="n">
        <x:v>30</x:v>
      </x:c>
      <x:c r="C76" s="46" t="n">
        <x:f>D75</x:f>
        <x:v>1540</x:v>
      </x:c>
      <x:c r="D76" s="46" t="n">
        <x:f>C76+B76</x:f>
        <x:v>1570</x:v>
      </x:c>
      <x:c r="E76" s="46"/>
      <x:c r="F76" s="38" t="str"/>
      <x:c r="G76" s="38" t="str">
        <x:v>dirt (default, confirm)</x:v>
      </x:c>
      <x:c r="H76" s="38" t="str"/>
      <x:c r="I76" s="38" t="str">
        <x:v>TrackSection</x:v>
      </x:c>
      <x:c r="J76" s="38" t="str">
        <x:v>Sequential base section with the listed distance and grade; dirt defaults remain provisional.</x:v>
      </x:c>
      <x:c r="K76" s="38" t="str">
        <x:v>Is the grade constant through this whole row? What surface is visible? Does the row include a turn or obstacle not written down?</x:v>
      </x:c>
      <x:c r="L76" s="38" t="str">
        <x:v>length; grade; surface; friction coefficient; rolling-resistance coefficient</x:v>
      </x:c>
      <x:c r="M76" s="38" t="str"/>
      <x:c r="N76" s="38" t="str">
        <x:v>Base data present</x:v>
      </x:c>
      <x:c r="O76" s="38" t="str">
        <x:v>Medium</x:v>
      </x:c>
      <x:c r="P76" s="38" t="str">
        <x:v>Base sections carry persistent elevation change; local features overlay them.</x:v>
      </x:c>
    </x:row>
  </x:sheetData>
  <x:conditionalFormatting sqref="N2:N76">
    <x:cfRule type="expression" dxfId="0" priority="1">
      <x:formula>N2="Needs video review"</x:formula>
    </x:cfRule>
    <x:cfRule type="expression" dxfId="1" priority="2">
      <x:formula>N2="Ready to encode"</x:formula>
    </x:cfRule>
  </x:conditionalFormatting>
  <x:conditionalFormatting sqref="O2:O76">
    <x:cfRule type="expression" dxfId="2" priority="3">
      <x:formula>O2="Low"</x:formula>
    </x:cfRule>
  </x:conditionalFormatting>
  <x:dataValidations count="2">
    <x:dataValidation type="list" sqref="N2:N76">
      <x:formula1>"Base data present,Needs video review,Ready to encode,Ignore / no effect"</x:formula1>
    </x:dataValidation>
    <x:dataValidation type="list" sqref="O2:O76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b0279554464f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42" hidden="0" customWidth="1"/>
    <x:col min="5" max="5" width="48" hidden="0" customWidth="1"/>
    <x:col min="6" max="6" width="48" hidden="0" customWidth="1"/>
    <x:col min="7" max="7" width="38" hidden="0" customWidth="1"/>
  </x:cols>
  <x:sheetData>
    <x:row r="1">
      <x:c r="A1" s="40" t="str">
        <x:v>Feature type</x:v>
      </x:c>
      <x:c r="B1" s="40" t="str">
        <x:v>Use for</x:v>
      </x:c>
      <x:c r="C1" s="40" t="str">
        <x:v>Required parameters</x:v>
      </x:c>
      <x:c r="D1" s="40" t="str">
        <x:v>Optional/calibration parameters</x:v>
      </x:c>
      <x:c r="E1" s="40" t="str">
        <x:v>Questions to answer from video</x:v>
      </x:c>
      <x:c r="F1" s="40" t="str">
        <x:v>Core math / physical role</x:v>
      </x:c>
      <x:c r="G1" s="40" t="str">
        <x:v>Main limitation</x:v>
      </x:c>
    </x:row>
    <x:row r="2" ht="96" customHeight="1">
      <x:c r="A2" s="38" t="str">
        <x:v>TrackSection</x:v>
      </x:c>
      <x:c r="B2" s="38" t="str">
        <x:v>Sequential base distance, persistent grade/elevation, and base surface.</x:v>
      </x:c>
      <x:c r="C2" s="38" t="str">
        <x:v>length_m; grade_degrees; friction_coefficient; rolling_resistance_coefficient; surface</x:v>
      </x:c>
      <x:c r="D2" s="38" t="str">
        <x:v>section name; confidence/source note</x:v>
      </x:c>
      <x:c r="E2" s="38" t="str">
        <x:v>Is the grade constant? Does elevation stay changed afterward? What surface covers the whole segment?</x:v>
      </x:c>
      <x:c r="F2" s="38" t="str">
        <x:v>dz/dx = tan(theta); z = z0 + (x-x0) tan(theta)</x:v>
      </x:c>
      <x:c r="G2" s="38" t="str">
        <x:v>Constant grade within one section; split changing grades into multiple rows.</x:v>
      </x:c>
    </x:row>
    <x:row r="3" ht="96" customHeight="1">
      <x:c r="A3" s="38" t="str">
        <x:v>SurfacePatch</x:v>
      </x:c>
      <x:c r="B3" s="38" t="str">
        <x:v>Water, mud, sand, wet grass, or localized surface change.</x:v>
      </x:c>
      <x:c r="C3" s="38" t="str">
        <x:v>start_m; length_m; friction or friction multiplier; rolling resistance or multiplier</x:v>
      </x:c>
      <x:c r="D3" s="38" t="str">
        <x:v>surface label</x:v>
      </x:c>
      <x:c r="E3" s="38" t="str">
        <x:v>How long is it? Is the whole lane affected? Do wheels spin? Is speed loss from drag or low grip?</x:v>
      </x:c>
      <x:c r="F3" s="38" t="str">
        <x:v>F_tire,max = mu N; F_rr = C_rr N</x:v>
      </x:c>
      <x:c r="G3" s="38" t="str">
        <x:v>Does not model splash, fluid dynamics, or wheel-by-wheel patches.</x:v>
      </x:c>
    </x:row>
    <x:row r="4" ht="96" customHeight="1">
      <x:c r="A4" s="38" t="str">
        <x:v>CurvatureSegment</x:v>
      </x:c>
      <x:c r="B4" s="38" t="str">
        <x:v>Single turn or arc with optional banking.</x:v>
      </x:c>
      <x:c r="C4" s="38" t="str">
        <x:v>start_m; length_m; radius_m; left/right</x:v>
      </x:c>
      <x:c r="D4" s="38" t="str">
        <x:v>bank_angle_degrees; surface overlay</x:v>
      </x:c>
      <x:c r="E4" s="38" t="str">
        <x:v>Left or right? Is listed distance arc length? Radius or corner width? Bank angle? Does it tighten?</x:v>
      </x:c>
      <x:c r="F4" s="38" t="str">
        <x:v>N/m = g cos(theta) cos(beta) + v^2 |kappa| sin(beta); Fy/m = v^2 |kappa| cos(beta) - g cos(theta) sin(beta)</x:v>
      </x:c>
      <x:c r="G4" s="38" t="str">
        <x:v>Constant radius and bank; use multiple segments for changing-radius turns.</x:v>
      </x:c>
    </x:row>
    <x:row r="5" ht="96" customHeight="1">
      <x:c r="A5" s="38" t="str">
        <x:v>SlalomSegment</x:v>
      </x:c>
      <x:c r="B5" s="38" t="str">
        <x:v>Repeated alternating left-right bends.</x:v>
      </x:c>
      <x:c r="C5" s="38" t="str">
        <x:v>start_m; length_m; bend_count; peak_curvature; initial_direction</x:v>
      </x:c>
      <x:c r="D5" s="38" t="str">
        <x:v>surface overlay</x:v>
      </x:c>
      <x:c r="E5" s="38" t="str">
        <x:v>Count bends/gates; first direction; gate spacing; tightest radius or lateral offset.</x:v>
      </x:c>
      <x:c r="F5" s="38" t="str">
        <x:v>kappa(x) = s kappa_max sin(n pi x/L)</x:v>
      </x:c>
      <x:c r="G5" s="38" t="str">
        <x:v>Smooth idealized slalom; no steering-rate or yaw dynamics.</x:v>
      </x:c>
    </x:row>
    <x:row r="6" ht="96" customHeight="1">
      <x:c r="A6" s="38" t="str">
        <x:v>RoughPatch</x:v>
      </x:c>
      <x:c r="B6" s="38" t="str">
        <x:v>Ruts, rocks, washboard, irregular repeated bumps.</x:v>
      </x:c>
      <x:c r="C6" s="38" t="str">
        <x:v>start_m; length_m; roughness_wavelength; normal-load variation</x:v>
      </x:c>
      <x:c r="D6" s="38" t="str">
        <x:v>energy loss per m; speed-squared loss coefficient; friction/rolling modifiers; phase</x:v>
      </x:c>
      <x:c r="E6" s="38" t="str">
        <x:v>Depth? Spacing? Direction relative to travel? Wet/dry? Wheel unloading? Entry/exit speed?</x:v>
      </x:c>
      <x:c r="F6" s="38" t="str">
        <x:v>kN = clip(1 + a sin(2 pi x/lambda + phi)); Frough = e' + kv^2</x:v>
      </x:c>
      <x:c r="G6" s="38" t="str">
        <x:v>Effective longitudinal model; not left/right suspension or rut-following.</x:v>
      </x:c>
    </x:row>
    <x:row r="7" ht="96" customHeight="1">
      <x:c r="A7" s="38" t="str">
        <x:v>LogCrossing</x:v>
      </x:c>
      <x:c r="B7" s="38" t="str">
        <x:v>One physically distinct log.</x:v>
      </x:c>
      <x:c r="C7" s="38" t="str">
        <x:v>position_m; crossing_length_m; height_m</x:v>
      </x:c>
      <x:c r="D7" s="38" t="str">
        <x:v>effective lift fraction; impact coefficient; traction multiplier</x:v>
      </x:c>
      <x:c r="E7" s="38" t="str">
        <x:v>How many? Diameter? Spacing? Crossing angle? Grip on wood? Entry/exit speed?</x:v>
      </x:c>
      <x:c r="F7" s="38" t="str">
        <x:v>Elog = mgh f_lift + kimpact v^2; F = Elog psi(x)</x:v>
      </x:c>
      <x:c r="G7" s="38" t="str">
        <x:v>No detailed wheel-climb geometry or chassis pitching.</x:v>
      </x:c>
    </x:row>
    <x:row r="8" ht="96" customHeight="1">
      <x:c r="A8" s="38" t="str">
        <x:v>ProfileObstacle</x:v>
      </x:c>
      <x:c r="B8" s="38" t="str">
        <x:v>Bump, pipe, tire, hole, dip, or local drop/recovery.</x:v>
      </x:c>
      <x:c r="C8" s="38" t="str">
        <x:v>start_m; length_m; profile_kind; signed vertical_amplitude_m</x:v>
      </x:c>
      <x:c r="D8" s="38" t="str">
        <x:v>fixed impact energy; speed-dependent impact coefficient; traction multiplier; load bounds</x:v>
      </x:c>
      <x:c r="E8" s="38" t="str">
        <x:v>Height/depth? Travel-direction length? One or several? Returns to prior elevation? Wheel unloading?</x:v>
      </x:c>
      <x:c r="F8" s="38" t="str">
        <x:v>z = h/2[1-cos(2 pi x/L)]; kN = clip(1 + v^2 z''/g); Floss = (E + kv^2) psi(x)</x:v>
      </x:c>
      <x:c r="G8" s="38" t="str">
        <x:v>Permanent net elevation change must be placed in base sections.</x:v>
      </x:c>
    </x:row>
    <x:row r="9" ht="96" customHeight="1">
      <x:c r="A9" s="38" t="str">
        <x:v>WhoopTrain</x:v>
      </x:c>
      <x:c r="B9" s="38" t="str">
        <x:v>Regular repeated hills/bumps with measurable count and spacing.</x:v>
      </x:c>
      <x:c r="C9" s="38" t="str">
        <x:v>start_m; count; wavelength_m; height_m</x:v>
      </x:c>
      <x:c r="D9" s="38" t="str">
        <x:v>energy loss per whoop; load-scale bounds; traction multiplier</x:v>
      </x:c>
      <x:c r="E9" s="38" t="str">
        <x:v>Count? Height? Crest spacing? Similar shapes? Vehicle stays in contact? Entry/exit speed?</x:v>
      </x:c>
      <x:c r="F9" s="38" t="str">
        <x:v>Repeated raised-cosine z(x); normal load varies with v^2 z''</x:v>
      </x:c>
      <x:c r="G9" s="38" t="str">
        <x:v>No suspension travel, axle phasing, landing, or airborne trajectory.</x:v>
      </x:c>
    </x:row>
    <x:row r="10" ht="96" customHeight="1">
      <x:c r="A10" s="38" t="str">
        <x:v>Track variant</x:v>
      </x:c>
      <x:c r="B10" s="38" t="str">
        <x:v>Optional route or obstacle line.</x:v>
      </x:c>
      <x:c r="C10" s="38" t="str">
        <x:v>separate track JSON for each route; branch/rejoin distances</x:v>
      </x:c>
      <x:c r="D10" s="38" t="str">
        <x:v>route-specific features and surfaces</x:v>
      </x:c>
      <x:c r="E10" s="38" t="str">
        <x:v>Where do paths split/rejoin? Distance difference? Which line is normally taken?</x:v>
      </x:c>
      <x:c r="F10" s="38" t="str">
        <x:v>Run each physical route as a separate track for now.</x:v>
      </x:c>
      <x:c r="G10" s="38" t="str">
        <x:v>Dynamic route choice is not implemented.</x:v>
      </x:c>
    </x:row>
  </x:sheetData>
  <x:pageMargins left="0.7" right="0.7" top="0.75" bottom="0.75" header="0.3" footer="0.3"/>
  <x:tableParts count="1">
    <x:tablePart xmlns:r="http://schemas.openxmlformats.org/officeDocument/2006/relationships" r:id="Rb53b1c615ccc47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18" hidden="0" customWidth="1"/>
    <x:col min="4" max="4" width="46" hidden="0" customWidth="1"/>
  </x:cols>
  <x:sheetData>
    <x:row r="1">
      <x:c r="A1" s="40" t="str">
        <x:v>Quantity</x:v>
      </x:c>
      <x:c r="B1" s="40" t="str">
        <x:v>How to estimate from video</x:v>
      </x:c>
      <x:c r="C1" s="40" t="str">
        <x:v>Preferred unit</x:v>
      </x:c>
      <x:c r="D1" s="40" t="str">
        <x:v>Why the model needs it</x:v>
      </x:c>
    </x:row>
    <x:row r="2" ht="72" customHeight="1">
      <x:c r="A2" s="38" t="str">
        <x:v>Distance / obstacle length</x:v>
      </x:c>
      <x:c r="B2" s="38" t="str">
        <x:v>Scale against known tire diameter, wheelbase, vehicle length, cones, parking spaces, or map distance.</x:v>
      </x:c>
      <x:c r="C2" s="38" t="str">
        <x:v>m</x:v>
      </x:c>
      <x:c r="D2" s="38" t="str">
        <x:v>Places features and sets grade/curvature wavelength.</x:v>
      </x:c>
    </x:row>
    <x:row r="3" ht="72" customHeight="1">
      <x:c r="A3" s="38" t="str">
        <x:v>Turn radius</x:v>
      </x:c>
      <x:c r="B3" s="38" t="str">
        <x:v>Use arc length and turn angle: R ≈ L/Δψ when the path is roughly circular; otherwise estimate centerline radius from overhead view.</x:v>
      </x:c>
      <x:c r="C3" s="38" t="str">
        <x:v>m</x:v>
      </x:c>
      <x:c r="D3" s="38" t="str">
        <x:v>Sets curvature and lateral tire demand.</x:v>
      </x:c>
    </x:row>
    <x:row r="4" ht="72" customHeight="1">
      <x:c r="A4" s="38" t="str">
        <x:v>Bank angle</x:v>
      </x:c>
      <x:c r="B4" s="38" t="str">
        <x:v>Estimate inside-to-outside height difference Δh across track width w: beta ≈ atan(Δh/w).</x:v>
      </x:c>
      <x:c r="C4" s="38" t="str">
        <x:v>deg</x:v>
      </x:c>
      <x:c r="D4" s="38" t="str">
        <x:v>Changes normal and lateral tire-force demand.</x:v>
      </x:c>
    </x:row>
    <x:row r="5" ht="72" customHeight="1">
      <x:c r="A5" s="38" t="str">
        <x:v>Obstacle height/depth</x:v>
      </x:c>
      <x:c r="B5" s="38" t="str">
        <x:v>Compare to tire radius, axle tube height, frame tube, or known log/pipe diameter.</x:v>
      </x:c>
      <x:c r="C5" s="38" t="str">
        <x:v>m</x:v>
      </x:c>
      <x:c r="D5" s="38" t="str">
        <x:v>Sets elevation profile and normal-load variation.</x:v>
      </x:c>
    </x:row>
    <x:row r="6" ht="72" customHeight="1">
      <x:c r="A6" s="38" t="str">
        <x:v>Obstacle spacing</x:v>
      </x:c>
      <x:c r="B6" s="38" t="str">
        <x:v>Measure crest-to-crest or rut-to-rut distance using repeated vehicle-length references.</x:v>
      </x:c>
      <x:c r="C6" s="38" t="str">
        <x:v>m</x:v>
      </x:c>
      <x:c r="D6" s="38" t="str">
        <x:v>Sets roughness/whoop wavelength.</x:v>
      </x:c>
    </x:row>
    <x:row r="7" ht="72" customHeight="1">
      <x:c r="A7" s="38" t="str">
        <x:v>Entry/exit speed</x:v>
      </x:c>
      <x:c r="B7" s="38" t="str">
        <x:v>Use frame count over a measured distance or existing GPS/telemetry.</x:v>
      </x:c>
      <x:c r="C7" s="38" t="str">
        <x:v>m/s or km/h</x:v>
      </x:c>
      <x:c r="D7" s="38" t="str">
        <x:v>Allows calibration of unresolved obstacle loss.</x:v>
      </x:c>
    </x:row>
    <x:row r="8" ht="72" customHeight="1">
      <x:c r="A8" s="38" t="str">
        <x:v>Grip change</x:v>
      </x:c>
      <x:c r="B8" s="38" t="str">
        <x:v>Look for wheel spin, sideways push, visibly longer acceleration, or braking instability.</x:v>
      </x:c>
      <x:c r="C8" s="38" t="str">
        <x:v>mu or multiplier</x:v>
      </x:c>
      <x:c r="D8" s="38" t="str">
        <x:v>Sets traction capacity.</x:v>
      </x:c>
    </x:row>
    <x:row r="9" ht="72" customHeight="1">
      <x:c r="A9" s="38" t="str">
        <x:v>Rolling resistance</x:v>
      </x:c>
      <x:c r="B9" s="38" t="str">
        <x:v>Look for sustained deceleration/coast-down difference without obvious wheel slip.</x:v>
      </x:c>
      <x:c r="C9" s="38" t="str">
        <x:v>Crr or multiplier</x:v>
      </x:c>
      <x:c r="D9" s="38" t="str">
        <x:v>Separates soft-ground drag from low grip.</x:v>
      </x:c>
    </x:row>
    <x:row r="10" ht="72" customHeight="1">
      <x:c r="A10" s="38" t="str">
        <x:v>Normal-load variation</x:v>
      </x:c>
      <x:c r="B10" s="38" t="str">
        <x:v>Look for visible wheel unloading, chassis bounce, or brief loss of tire force.</x:v>
      </x:c>
      <x:c r="C10" s="38" t="str">
        <x:v>fraction / scale</x:v>
      </x:c>
      <x:c r="D10" s="38" t="str">
        <x:v>Controls transient available traction in rough terrain.</x:v>
      </x:c>
    </x:row>
    <x:row r="11" ht="72" customHeight="1">
      <x:c r="A11" s="38" t="str">
        <x:v>Impact loss</x:v>
      </x:c>
      <x:c r="B11" s="38" t="str">
        <x:v>Calibrate until simulated entry-to-exit speed loss matches video after grade and surface are accounted for.</x:v>
      </x:c>
      <x:c r="C11" s="38" t="str">
        <x:v>J or coefficient</x:v>
      </x:c>
      <x:c r="D11" s="38" t="str">
        <x:v>Represents suspension/tire dissipation missing from the reduced model.</x:v>
      </x:c>
    </x:row>
  </x:sheetData>
  <x:pageMargins left="0.7" right="0.7" top="0.75" bottom="0.75" header="0.3" footer="0.3"/>
  <x:tableParts count="1">
    <x:tablePart xmlns:r="http://schemas.openxmlformats.org/officeDocument/2006/relationships" r:id="R983751f261104d5c"/>
  </x:tableParts>
</x:worksheet>
</file>